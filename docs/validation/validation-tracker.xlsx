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Items" sheetId="2" r:id="rId2"/>
    <sheet name="Defects and Findings" sheetId="3" r:id="rId3"/>
    <sheet name="Future Improvements" sheetId="4" r:id="rId4"/>
  </sheets>
  <calcPr fullCalcOnLoad="1"/>
</workbook>
</file>

<file path=xl/styles.xml><?xml version="1.0" encoding="utf-8"?>
<styleSheet xmlns="http://schemas.openxmlformats.org/spreadsheetml/2006/main">
  <numFmts count="1">
    <numFmt numFmtId="164" formatCode="0.0%"/>
  </numFmts>
  <fonts count="4">
    <font>
      <sz val="11"/>
      <name val="Calibri"/>
    </font>
    <font>
      <b/>
      <sz val="11"/>
      <name val="Calibri"/>
    </font>
    <font>
      <b/>
      <sz val="14"/>
      <name val="Calibri"/>
    </font>
    <font>
      <i/>
      <sz val="10"/>
      <color rgb="FF595959"/>
      <name val="Calibri"/>
    </font>
  </fonts>
  <fills count="3">
    <fill>
      <patternFill patternType="none"/>
    </fill>
    <fill>
      <patternFill patternType="gray125"/>
    </fill>
    <fill>
      <patternFill patternType="solid">
        <fgColor rgb="FFDCE3F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0" borderId="0" xfId="0" applyAlignment="1">
      <alignment vertical="top" wrapText="1"/>
    </xf>
    <xf numFmtId="0" fontId="2" fillId="0" borderId="0" xfId="0" applyFont="1"/>
    <xf numFmtId="164" fontId="0" fillId="0" borderId="0" xfId="0" applyNumberFormat="1"/>
    <xf numFmtId="0" fontId="1" fillId="0" borderId="0" xfId="0" applyFont="1"/>
    <xf numFmtId="0" fontId="3" fillId="0" borderId="0" xfId="0" applyFont="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7F3F00"/>
      </font>
      <fill>
        <patternFill>
          <bgColor rgb="FFF8CBAD"/>
        </patternFill>
      </fill>
    </dxf>
    <dxf>
      <font>
        <color rgb="FF595959"/>
      </font>
      <fill>
        <patternFill>
          <bgColor rgb="FFEDEDED"/>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tables/table1.xml><?xml version="1.0" encoding="utf-8"?>
<table xmlns="http://schemas.openxmlformats.org/spreadsheetml/2006/main" id="1" name="ValidationItems" displayName="ValidationItems" ref="A1:S196" totalsRowShown="0">
  <autoFilter ref="A1:S196"/>
  <tableColumns count="19">
    <tableColumn id="1" name="ID"/>
    <tableColumn id="2" name="Area"/>
    <tableColumn id="3" name="Page/component"/>
    <tableColumn id="4" name="Validation criterion"/>
    <tableColumn id="5" name="Priority"/>
    <tableColumn id="6" name="Status"/>
    <tableColumn id="7" name="Manual approval"/>
    <tableColumn id="8" name="Automated test evidence"/>
    <tableColumn id="9" name="Last validated date"/>
    <tableColumn id="10" name="Build/commit"/>
    <tableColumn id="11" name="Notes"/>
    <tableColumn id="12" name="Linked issue or finding"/>
    <tableColumn id="13" name="Potential future improvement"/>
    <tableColumn id="14" name="Manual validation steps"/>
    <tableColumn id="15" name="Known limitations"/>
    <tableColumn id="16" name="Implementation reference"/>
    <tableColumn id="17" name="Implementation status"/>
    <tableColumn id="18" name="Classification"/>
    <tableColumn id="19" name="Retest status"/>
  </tableColumns>
  <tableStyleInfo name="TableStyleLight1" showFirstColumn="0" showLastColumn="0" showRowStripes="1" showColumnStripes="0"/>
</tabl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sheetViews>
    <sheetView workbookViewId="0" showGridLines="0"/>
  </sheetViews>
  <cols>
    <col min="1" max="1" width="38" customWidth="1"/>
    <col min="2" max="2" width="10" customWidth="1"/>
    <col min="3" max="3" width="12" customWidth="1"/>
    <col min="4" max="4" width="10" customWidth="1"/>
    <col min="5" max="5" width="10" customWidth="1"/>
    <col min="6" max="6" width="18" customWidth="1"/>
    <col min="7" max="7" width="10" customWidth="1"/>
    <col min="8" max="8" width="14" customWidth="1"/>
    <col min="9" max="9" width="14" customWidth="1"/>
    <col min="10" max="10" width="14" customWidth="1"/>
    <col min="11" max="11" width="12" customWidth="1"/>
    <col min="12" max="12" width="12" customWidth="1"/>
  </cols>
  <sheetData>
    <row r="1">
      <c r="A1" s="3" t="inlineStr">
        <is>
          <t xml:space="preserve">SAP Lens validation checklist</t>
        </is>
      </c>
    </row>
    <row r="2">
      <c r="A2" s="6" t="inlineStr">
        <is>
          <t xml:space="preserve">Generated from docs/validation/validation-items.csv. Status and Manual approval are recorded by people; automated test evidence is listed separately on the Items sheet. Nothing is approved automatically.</t>
        </is>
      </c>
    </row>
    <row r="3">
      <c r="A3" s="6" t="inlineStr">
        <is>
          <t xml:space="preserve">Completion = Passed, Failed and Needs improvement over applicable items. Approved = manually approved over applicable items. Defects and Future Improvements are snapshots taken when the workbook was generated.</t>
        </is>
      </c>
    </row>
    <row r="5">
      <c r="A5" s="1" t="inlineStr">
        <is>
          <t xml:space="preserve">Area</t>
        </is>
      </c>
      <c r="B5" s="1" t="inlineStr">
        <is>
          <t xml:space="preserve">Items</t>
        </is>
      </c>
      <c r="C5" s="1" t="inlineStr">
        <is>
          <t xml:space="preserve">Not tested</t>
        </is>
      </c>
      <c r="D5" s="1" t="inlineStr">
        <is>
          <t xml:space="preserve">Passed</t>
        </is>
      </c>
      <c r="E5" s="1" t="inlineStr">
        <is>
          <t xml:space="preserve">Failed</t>
        </is>
      </c>
      <c r="F5" s="1" t="inlineStr">
        <is>
          <t xml:space="preserve">Needs improvement</t>
        </is>
      </c>
      <c r="G5" s="1" t="inlineStr">
        <is>
          <t xml:space="preserve">Blocked</t>
        </is>
      </c>
      <c r="H5" s="1" t="inlineStr">
        <is>
          <t xml:space="preserve">Not applicable</t>
        </is>
      </c>
      <c r="I5" s="1" t="inlineStr">
        <is>
          <t xml:space="preserve">Manual approved</t>
        </is>
      </c>
      <c r="J5" s="1" t="inlineStr">
        <is>
          <t xml:space="preserve">Manual pending</t>
        </is>
      </c>
      <c r="K5" s="1" t="inlineStr">
        <is>
          <t xml:space="preserve">Completion</t>
        </is>
      </c>
      <c r="L5" s="1" t="inlineStr">
        <is>
          <t xml:space="preserve">Approved</t>
        </is>
      </c>
    </row>
    <row r="6">
      <c r="A6" s="0" t="inlineStr">
        <is>
          <t xml:space="preserve">Dashboard</t>
        </is>
      </c>
      <c r="B6" s="0">
        <f>COUNTIFS(Items!$B$2:$B$196,$A6)</f>
        <v>9</v>
      </c>
      <c r="C6" s="0">
        <f>COUNTIFS(Items!$B$2:$B$196,$A6,Items!$F$2:$F$196,C$5)</f>
        <v>9</v>
      </c>
      <c r="D6" s="0">
        <f>COUNTIFS(Items!$B$2:$B$196,$A6,Items!$F$2:$F$196,D$5)</f>
        <v>0</v>
      </c>
      <c r="E6" s="0">
        <f>COUNTIFS(Items!$B$2:$B$196,$A6,Items!$F$2:$F$196,E$5)</f>
        <v>0</v>
      </c>
      <c r="F6" s="0">
        <f>COUNTIFS(Items!$B$2:$B$196,$A6,Items!$F$2:$F$196,F$5)</f>
        <v>0</v>
      </c>
      <c r="G6" s="0">
        <f>COUNTIFS(Items!$B$2:$B$196,$A6,Items!$F$2:$F$196,G$5)</f>
        <v>0</v>
      </c>
      <c r="H6" s="0">
        <f>COUNTIFS(Items!$B$2:$B$196,$A6,Items!$F$2:$F$196,H$5)</f>
        <v>0</v>
      </c>
      <c r="I6" s="0">
        <f>COUNTIFS(Items!$B$2:$B$196,$A6,Items!$G$2:$G$196,"Approved")</f>
        <v>0</v>
      </c>
      <c r="J6" s="0">
        <f>COUNTIFS(Items!$B$2:$B$196,$A6,Items!$G$2:$G$196,"Pending")</f>
        <v>9</v>
      </c>
      <c r="K6" s="4">
        <f>IF(B6-G6=0,0,(D6+E6+F6)/(B6-G6))</f>
        <v>0.0</v>
      </c>
      <c r="L6" s="4">
        <f>IF(B6-G6=0,0,H6/(B6-G6))</f>
        <v>0.0</v>
      </c>
    </row>
    <row r="7">
      <c r="A7" s="0" t="inlineStr">
        <is>
          <t xml:space="preserve">Role Lookup</t>
        </is>
      </c>
      <c r="B7" s="0">
        <f>COUNTIFS(Items!$B$2:$B$196,$A7)</f>
        <v>9</v>
      </c>
      <c r="C7" s="0">
        <f>COUNTIFS(Items!$B$2:$B$196,$A7,Items!$F$2:$F$196,C$5)</f>
        <v>9</v>
      </c>
      <c r="D7" s="0">
        <f>COUNTIFS(Items!$B$2:$B$196,$A7,Items!$F$2:$F$196,D$5)</f>
        <v>0</v>
      </c>
      <c r="E7" s="0">
        <f>COUNTIFS(Items!$B$2:$B$196,$A7,Items!$F$2:$F$196,E$5)</f>
        <v>0</v>
      </c>
      <c r="F7" s="0">
        <f>COUNTIFS(Items!$B$2:$B$196,$A7,Items!$F$2:$F$196,F$5)</f>
        <v>0</v>
      </c>
      <c r="G7" s="0">
        <f>COUNTIFS(Items!$B$2:$B$196,$A7,Items!$F$2:$F$196,G$5)</f>
        <v>0</v>
      </c>
      <c r="H7" s="0">
        <f>COUNTIFS(Items!$B$2:$B$196,$A7,Items!$F$2:$F$196,H$5)</f>
        <v>0</v>
      </c>
      <c r="I7" s="0">
        <f>COUNTIFS(Items!$B$2:$B$196,$A7,Items!$G$2:$G$196,"Approved")</f>
        <v>0</v>
      </c>
      <c r="J7" s="0">
        <f>COUNTIFS(Items!$B$2:$B$196,$A7,Items!$G$2:$G$196,"Pending")</f>
        <v>9</v>
      </c>
      <c r="K7" s="4">
        <f>IF(B7-G7=0,0,(D7+E7+F7)/(B7-G7))</f>
        <v>0.0</v>
      </c>
      <c r="L7" s="4">
        <f>IF(B7-G7=0,0,H7/(B7-G7))</f>
        <v>0.0</v>
      </c>
    </row>
    <row r="8">
      <c r="A8" s="0" t="inlineStr">
        <is>
          <t xml:space="preserve">Access Package</t>
        </is>
      </c>
      <c r="B8" s="0">
        <f>COUNTIFS(Items!$B$2:$B$196,$A8)</f>
        <v>9</v>
      </c>
      <c r="C8" s="0">
        <f>COUNTIFS(Items!$B$2:$B$196,$A8,Items!$F$2:$F$196,C$5)</f>
        <v>8</v>
      </c>
      <c r="D8" s="0">
        <f>COUNTIFS(Items!$B$2:$B$196,$A8,Items!$F$2:$F$196,D$5)</f>
        <v>0</v>
      </c>
      <c r="E8" s="0">
        <f>COUNTIFS(Items!$B$2:$B$196,$A8,Items!$F$2:$F$196,E$5)</f>
        <v>0</v>
      </c>
      <c r="F8" s="0">
        <f>COUNTIFS(Items!$B$2:$B$196,$A8,Items!$F$2:$F$196,F$5)</f>
        <v>1</v>
      </c>
      <c r="G8" s="0">
        <f>COUNTIFS(Items!$B$2:$B$196,$A8,Items!$F$2:$F$196,G$5)</f>
        <v>0</v>
      </c>
      <c r="H8" s="0">
        <f>COUNTIFS(Items!$B$2:$B$196,$A8,Items!$F$2:$F$196,H$5)</f>
        <v>0</v>
      </c>
      <c r="I8" s="0">
        <f>COUNTIFS(Items!$B$2:$B$196,$A8,Items!$G$2:$G$196,"Approved")</f>
        <v>0</v>
      </c>
      <c r="J8" s="0">
        <f>COUNTIFS(Items!$B$2:$B$196,$A8,Items!$G$2:$G$196,"Pending")</f>
        <v>9</v>
      </c>
      <c r="K8" s="4">
        <f>IF(B8-G8=0,0,(D8+E8+F8)/(B8-G8))</f>
        <v>0.111111</v>
      </c>
      <c r="L8" s="4">
        <f>IF(B8-G8=0,0,H8/(B8-G8))</f>
        <v>0.0</v>
      </c>
    </row>
    <row r="9">
      <c r="A9" s="0" t="inlineStr">
        <is>
          <t xml:space="preserve">User Directory</t>
        </is>
      </c>
      <c r="B9" s="0">
        <f>COUNTIFS(Items!$B$2:$B$196,$A9)</f>
        <v>9</v>
      </c>
      <c r="C9" s="0">
        <f>COUNTIFS(Items!$B$2:$B$196,$A9,Items!$F$2:$F$196,C$5)</f>
        <v>9</v>
      </c>
      <c r="D9" s="0">
        <f>COUNTIFS(Items!$B$2:$B$196,$A9,Items!$F$2:$F$196,D$5)</f>
        <v>0</v>
      </c>
      <c r="E9" s="0">
        <f>COUNTIFS(Items!$B$2:$B$196,$A9,Items!$F$2:$F$196,E$5)</f>
        <v>0</v>
      </c>
      <c r="F9" s="0">
        <f>COUNTIFS(Items!$B$2:$B$196,$A9,Items!$F$2:$F$196,F$5)</f>
        <v>0</v>
      </c>
      <c r="G9" s="0">
        <f>COUNTIFS(Items!$B$2:$B$196,$A9,Items!$F$2:$F$196,G$5)</f>
        <v>0</v>
      </c>
      <c r="H9" s="0">
        <f>COUNTIFS(Items!$B$2:$B$196,$A9,Items!$F$2:$F$196,H$5)</f>
        <v>0</v>
      </c>
      <c r="I9" s="0">
        <f>COUNTIFS(Items!$B$2:$B$196,$A9,Items!$G$2:$G$196,"Approved")</f>
        <v>0</v>
      </c>
      <c r="J9" s="0">
        <f>COUNTIFS(Items!$B$2:$B$196,$A9,Items!$G$2:$G$196,"Pending")</f>
        <v>9</v>
      </c>
      <c r="K9" s="4">
        <f>IF(B9-G9=0,0,(D9+E9+F9)/(B9-G9))</f>
        <v>0.0</v>
      </c>
      <c r="L9" s="4">
        <f>IF(B9-G9=0,0,H9/(B9-G9))</f>
        <v>0.0</v>
      </c>
    </row>
    <row r="10">
      <c r="A10" s="0" t="inlineStr">
        <is>
          <t xml:space="preserve">Account Review</t>
        </is>
      </c>
      <c r="B10" s="0">
        <f>COUNTIFS(Items!$B$2:$B$196,$A10)</f>
        <v>9</v>
      </c>
      <c r="C10" s="0">
        <f>COUNTIFS(Items!$B$2:$B$196,$A10,Items!$F$2:$F$196,C$5)</f>
        <v>9</v>
      </c>
      <c r="D10" s="0">
        <f>COUNTIFS(Items!$B$2:$B$196,$A10,Items!$F$2:$F$196,D$5)</f>
        <v>0</v>
      </c>
      <c r="E10" s="0">
        <f>COUNTIFS(Items!$B$2:$B$196,$A10,Items!$F$2:$F$196,E$5)</f>
        <v>0</v>
      </c>
      <c r="F10" s="0">
        <f>COUNTIFS(Items!$B$2:$B$196,$A10,Items!$F$2:$F$196,F$5)</f>
        <v>0</v>
      </c>
      <c r="G10" s="0">
        <f>COUNTIFS(Items!$B$2:$B$196,$A10,Items!$F$2:$F$196,G$5)</f>
        <v>0</v>
      </c>
      <c r="H10" s="0">
        <f>COUNTIFS(Items!$B$2:$B$196,$A10,Items!$F$2:$F$196,H$5)</f>
        <v>0</v>
      </c>
      <c r="I10" s="0">
        <f>COUNTIFS(Items!$B$2:$B$196,$A10,Items!$G$2:$G$196,"Approved")</f>
        <v>0</v>
      </c>
      <c r="J10" s="0">
        <f>COUNTIFS(Items!$B$2:$B$196,$A10,Items!$G$2:$G$196,"Pending")</f>
        <v>9</v>
      </c>
      <c r="K10" s="4">
        <f>IF(B10-G10=0,0,(D10+E10+F10)/(B10-G10))</f>
        <v>0.0</v>
      </c>
      <c r="L10" s="4">
        <f>IF(B10-G10=0,0,H10/(B10-G10))</f>
        <v>0.0</v>
      </c>
    </row>
    <row r="11">
      <c r="A11" s="0" t="inlineStr">
        <is>
          <t xml:space="preserve">Compare Users</t>
        </is>
      </c>
      <c r="B11" s="0">
        <f>COUNTIFS(Items!$B$2:$B$196,$A11)</f>
        <v>5</v>
      </c>
      <c r="C11" s="0">
        <f>COUNTIFS(Items!$B$2:$B$196,$A11,Items!$F$2:$F$196,C$5)</f>
        <v>5</v>
      </c>
      <c r="D11" s="0">
        <f>COUNTIFS(Items!$B$2:$B$196,$A11,Items!$F$2:$F$196,D$5)</f>
        <v>0</v>
      </c>
      <c r="E11" s="0">
        <f>COUNTIFS(Items!$B$2:$B$196,$A11,Items!$F$2:$F$196,E$5)</f>
        <v>0</v>
      </c>
      <c r="F11" s="0">
        <f>COUNTIFS(Items!$B$2:$B$196,$A11,Items!$F$2:$F$196,F$5)</f>
        <v>0</v>
      </c>
      <c r="G11" s="0">
        <f>COUNTIFS(Items!$B$2:$B$196,$A11,Items!$F$2:$F$196,G$5)</f>
        <v>0</v>
      </c>
      <c r="H11" s="0">
        <f>COUNTIFS(Items!$B$2:$B$196,$A11,Items!$F$2:$F$196,H$5)</f>
        <v>0</v>
      </c>
      <c r="I11" s="0">
        <f>COUNTIFS(Items!$B$2:$B$196,$A11,Items!$G$2:$G$196,"Approved")</f>
        <v>0</v>
      </c>
      <c r="J11" s="0">
        <f>COUNTIFS(Items!$B$2:$B$196,$A11,Items!$G$2:$G$196,"Pending")</f>
        <v>5</v>
      </c>
      <c r="K11" s="4">
        <f>IF(B11-G11=0,0,(D11+E11+F11)/(B11-G11))</f>
        <v>0.0</v>
      </c>
      <c r="L11" s="4">
        <f>IF(B11-G11=0,0,H11/(B11-G11))</f>
        <v>0.0</v>
      </c>
    </row>
    <row r="12">
      <c r="A12" s="0" t="inlineStr">
        <is>
          <t xml:space="preserve">Release Roles</t>
        </is>
      </c>
      <c r="B12" s="0">
        <f>COUNTIFS(Items!$B$2:$B$196,$A12)</f>
        <v>5</v>
      </c>
      <c r="C12" s="0">
        <f>COUNTIFS(Items!$B$2:$B$196,$A12,Items!$F$2:$F$196,C$5)</f>
        <v>5</v>
      </c>
      <c r="D12" s="0">
        <f>COUNTIFS(Items!$B$2:$B$196,$A12,Items!$F$2:$F$196,D$5)</f>
        <v>0</v>
      </c>
      <c r="E12" s="0">
        <f>COUNTIFS(Items!$B$2:$B$196,$A12,Items!$F$2:$F$196,E$5)</f>
        <v>0</v>
      </c>
      <c r="F12" s="0">
        <f>COUNTIFS(Items!$B$2:$B$196,$A12,Items!$F$2:$F$196,F$5)</f>
        <v>0</v>
      </c>
      <c r="G12" s="0">
        <f>COUNTIFS(Items!$B$2:$B$196,$A12,Items!$F$2:$F$196,G$5)</f>
        <v>0</v>
      </c>
      <c r="H12" s="0">
        <f>COUNTIFS(Items!$B$2:$B$196,$A12,Items!$F$2:$F$196,H$5)</f>
        <v>0</v>
      </c>
      <c r="I12" s="0">
        <f>COUNTIFS(Items!$B$2:$B$196,$A12,Items!$G$2:$G$196,"Approved")</f>
        <v>0</v>
      </c>
      <c r="J12" s="0">
        <f>COUNTIFS(Items!$B$2:$B$196,$A12,Items!$G$2:$G$196,"Pending")</f>
        <v>5</v>
      </c>
      <c r="K12" s="4">
        <f>IF(B12-G12=0,0,(D12+E12+F12)/(B12-G12))</f>
        <v>0.0</v>
      </c>
      <c r="L12" s="4">
        <f>IF(B12-G12=0,0,H12/(B12-G12))</f>
        <v>0.0</v>
      </c>
    </row>
    <row r="13">
      <c r="A13" s="0" t="inlineStr">
        <is>
          <t xml:space="preserve">SoD Overview</t>
        </is>
      </c>
      <c r="B13" s="0">
        <f>COUNTIFS(Items!$B$2:$B$196,$A13)</f>
        <v>9</v>
      </c>
      <c r="C13" s="0">
        <f>COUNTIFS(Items!$B$2:$B$196,$A13,Items!$F$2:$F$196,C$5)</f>
        <v>9</v>
      </c>
      <c r="D13" s="0">
        <f>COUNTIFS(Items!$B$2:$B$196,$A13,Items!$F$2:$F$196,D$5)</f>
        <v>0</v>
      </c>
      <c r="E13" s="0">
        <f>COUNTIFS(Items!$B$2:$B$196,$A13,Items!$F$2:$F$196,E$5)</f>
        <v>0</v>
      </c>
      <c r="F13" s="0">
        <f>COUNTIFS(Items!$B$2:$B$196,$A13,Items!$F$2:$F$196,F$5)</f>
        <v>0</v>
      </c>
      <c r="G13" s="0">
        <f>COUNTIFS(Items!$B$2:$B$196,$A13,Items!$F$2:$F$196,G$5)</f>
        <v>0</v>
      </c>
      <c r="H13" s="0">
        <f>COUNTIFS(Items!$B$2:$B$196,$A13,Items!$F$2:$F$196,H$5)</f>
        <v>0</v>
      </c>
      <c r="I13" s="0">
        <f>COUNTIFS(Items!$B$2:$B$196,$A13,Items!$G$2:$G$196,"Approved")</f>
        <v>0</v>
      </c>
      <c r="J13" s="0">
        <f>COUNTIFS(Items!$B$2:$B$196,$A13,Items!$G$2:$G$196,"Pending")</f>
        <v>9</v>
      </c>
      <c r="K13" s="4">
        <f>IF(B13-G13=0,0,(D13+E13+F13)/(B13-G13))</f>
        <v>0.0</v>
      </c>
      <c r="L13" s="4">
        <f>IF(B13-G13=0,0,H13/(B13-G13))</f>
        <v>0.0</v>
      </c>
    </row>
    <row r="14">
      <c r="A14" s="0" t="inlineStr">
        <is>
          <t xml:space="preserve">Risk Matrix</t>
        </is>
      </c>
      <c r="B14" s="0">
        <f>COUNTIFS(Items!$B$2:$B$196,$A14)</f>
        <v>17</v>
      </c>
      <c r="C14" s="0">
        <f>COUNTIFS(Items!$B$2:$B$196,$A14,Items!$F$2:$F$196,C$5)</f>
        <v>17</v>
      </c>
      <c r="D14" s="0">
        <f>COUNTIFS(Items!$B$2:$B$196,$A14,Items!$F$2:$F$196,D$5)</f>
        <v>0</v>
      </c>
      <c r="E14" s="0">
        <f>COUNTIFS(Items!$B$2:$B$196,$A14,Items!$F$2:$F$196,E$5)</f>
        <v>0</v>
      </c>
      <c r="F14" s="0">
        <f>COUNTIFS(Items!$B$2:$B$196,$A14,Items!$F$2:$F$196,F$5)</f>
        <v>0</v>
      </c>
      <c r="G14" s="0">
        <f>COUNTIFS(Items!$B$2:$B$196,$A14,Items!$F$2:$F$196,G$5)</f>
        <v>0</v>
      </c>
      <c r="H14" s="0">
        <f>COUNTIFS(Items!$B$2:$B$196,$A14,Items!$F$2:$F$196,H$5)</f>
        <v>0</v>
      </c>
      <c r="I14" s="0">
        <f>COUNTIFS(Items!$B$2:$B$196,$A14,Items!$G$2:$G$196,"Approved")</f>
        <v>0</v>
      </c>
      <c r="J14" s="0">
        <f>COUNTIFS(Items!$B$2:$B$196,$A14,Items!$G$2:$G$196,"Pending")</f>
        <v>17</v>
      </c>
      <c r="K14" s="4">
        <f>IF(B14-G14=0,0,(D14+E14+F14)/(B14-G14))</f>
        <v>0.0</v>
      </c>
      <c r="L14" s="4">
        <f>IF(B14-G14=0,0,H14/(B14-G14))</f>
        <v>0.0</v>
      </c>
    </row>
    <row r="15">
      <c r="A15" s="0" t="inlineStr">
        <is>
          <t xml:space="preserve">Activity Matrix</t>
        </is>
      </c>
      <c r="B15" s="0">
        <f>COUNTIFS(Items!$B$2:$B$196,$A15)</f>
        <v>4</v>
      </c>
      <c r="C15" s="0">
        <f>COUNTIFS(Items!$B$2:$B$196,$A15,Items!$F$2:$F$196,C$5)</f>
        <v>4</v>
      </c>
      <c r="D15" s="0">
        <f>COUNTIFS(Items!$B$2:$B$196,$A15,Items!$F$2:$F$196,D$5)</f>
        <v>0</v>
      </c>
      <c r="E15" s="0">
        <f>COUNTIFS(Items!$B$2:$B$196,$A15,Items!$F$2:$F$196,E$5)</f>
        <v>0</v>
      </c>
      <c r="F15" s="0">
        <f>COUNTIFS(Items!$B$2:$B$196,$A15,Items!$F$2:$F$196,F$5)</f>
        <v>0</v>
      </c>
      <c r="G15" s="0">
        <f>COUNTIFS(Items!$B$2:$B$196,$A15,Items!$F$2:$F$196,G$5)</f>
        <v>0</v>
      </c>
      <c r="H15" s="0">
        <f>COUNTIFS(Items!$B$2:$B$196,$A15,Items!$F$2:$F$196,H$5)</f>
        <v>0</v>
      </c>
      <c r="I15" s="0">
        <f>COUNTIFS(Items!$B$2:$B$196,$A15,Items!$G$2:$G$196,"Approved")</f>
        <v>0</v>
      </c>
      <c r="J15" s="0">
        <f>COUNTIFS(Items!$B$2:$B$196,$A15,Items!$G$2:$G$196,"Pending")</f>
        <v>4</v>
      </c>
      <c r="K15" s="4">
        <f>IF(B15-G15=0,0,(D15+E15+F15)/(B15-G15))</f>
        <v>0.0</v>
      </c>
      <c r="L15" s="4">
        <f>IF(B15-G15=0,0,H15/(B15-G15))</f>
        <v>0.0</v>
      </c>
    </row>
    <row r="16">
      <c r="A16" s="0" t="inlineStr">
        <is>
          <t xml:space="preserve">Access Explorer</t>
        </is>
      </c>
      <c r="B16" s="0">
        <f>COUNTIFS(Items!$B$2:$B$196,$A16)</f>
        <v>9</v>
      </c>
      <c r="C16" s="0">
        <f>COUNTIFS(Items!$B$2:$B$196,$A16,Items!$F$2:$F$196,C$5)</f>
        <v>9</v>
      </c>
      <c r="D16" s="0">
        <f>COUNTIFS(Items!$B$2:$B$196,$A16,Items!$F$2:$F$196,D$5)</f>
        <v>0</v>
      </c>
      <c r="E16" s="0">
        <f>COUNTIFS(Items!$B$2:$B$196,$A16,Items!$F$2:$F$196,E$5)</f>
        <v>0</v>
      </c>
      <c r="F16" s="0">
        <f>COUNTIFS(Items!$B$2:$B$196,$A16,Items!$F$2:$F$196,F$5)</f>
        <v>0</v>
      </c>
      <c r="G16" s="0">
        <f>COUNTIFS(Items!$B$2:$B$196,$A16,Items!$F$2:$F$196,G$5)</f>
        <v>0</v>
      </c>
      <c r="H16" s="0">
        <f>COUNTIFS(Items!$B$2:$B$196,$A16,Items!$F$2:$F$196,H$5)</f>
        <v>0</v>
      </c>
      <c r="I16" s="0">
        <f>COUNTIFS(Items!$B$2:$B$196,$A16,Items!$G$2:$G$196,"Approved")</f>
        <v>0</v>
      </c>
      <c r="J16" s="0">
        <f>COUNTIFS(Items!$B$2:$B$196,$A16,Items!$G$2:$G$196,"Pending")</f>
        <v>9</v>
      </c>
      <c r="K16" s="4">
        <f>IF(B16-G16=0,0,(D16+E16+F16)/(B16-G16))</f>
        <v>0.0</v>
      </c>
      <c r="L16" s="4">
        <f>IF(B16-G16=0,0,H16/(B16-G16))</f>
        <v>0.0</v>
      </c>
    </row>
    <row r="17">
      <c r="A17" s="0" t="inlineStr">
        <is>
          <t xml:space="preserve">SoD Reviews</t>
        </is>
      </c>
      <c r="B17" s="0">
        <f>COUNTIFS(Items!$B$2:$B$196,$A17)</f>
        <v>15</v>
      </c>
      <c r="C17" s="0">
        <f>COUNTIFS(Items!$B$2:$B$196,$A17,Items!$F$2:$F$196,C$5)</f>
        <v>14</v>
      </c>
      <c r="D17" s="0">
        <f>COUNTIFS(Items!$B$2:$B$196,$A17,Items!$F$2:$F$196,D$5)</f>
        <v>0</v>
      </c>
      <c r="E17" s="0">
        <f>COUNTIFS(Items!$B$2:$B$196,$A17,Items!$F$2:$F$196,E$5)</f>
        <v>0</v>
      </c>
      <c r="F17" s="0">
        <f>COUNTIFS(Items!$B$2:$B$196,$A17,Items!$F$2:$F$196,F$5)</f>
        <v>1</v>
      </c>
      <c r="G17" s="0">
        <f>COUNTIFS(Items!$B$2:$B$196,$A17,Items!$F$2:$F$196,G$5)</f>
        <v>0</v>
      </c>
      <c r="H17" s="0">
        <f>COUNTIFS(Items!$B$2:$B$196,$A17,Items!$F$2:$F$196,H$5)</f>
        <v>0</v>
      </c>
      <c r="I17" s="0">
        <f>COUNTIFS(Items!$B$2:$B$196,$A17,Items!$G$2:$G$196,"Approved")</f>
        <v>0</v>
      </c>
      <c r="J17" s="0">
        <f>COUNTIFS(Items!$B$2:$B$196,$A17,Items!$G$2:$G$196,"Pending")</f>
        <v>15</v>
      </c>
      <c r="K17" s="4">
        <f>IF(B17-G17=0,0,(D17+E17+F17)/(B17-G17))</f>
        <v>0.066667</v>
      </c>
      <c r="L17" s="4">
        <f>IF(B17-G17=0,0,H17/(B17-G17))</f>
        <v>0.0</v>
      </c>
    </row>
    <row r="18">
      <c r="A18" s="0" t="inlineStr">
        <is>
          <t xml:space="preserve">Review Periods</t>
        </is>
      </c>
      <c r="B18" s="0">
        <f>COUNTIFS(Items!$B$2:$B$196,$A18)</f>
        <v>9</v>
      </c>
      <c r="C18" s="0">
        <f>COUNTIFS(Items!$B$2:$B$196,$A18,Items!$F$2:$F$196,C$5)</f>
        <v>9</v>
      </c>
      <c r="D18" s="0">
        <f>COUNTIFS(Items!$B$2:$B$196,$A18,Items!$F$2:$F$196,D$5)</f>
        <v>0</v>
      </c>
      <c r="E18" s="0">
        <f>COUNTIFS(Items!$B$2:$B$196,$A18,Items!$F$2:$F$196,E$5)</f>
        <v>0</v>
      </c>
      <c r="F18" s="0">
        <f>COUNTIFS(Items!$B$2:$B$196,$A18,Items!$F$2:$F$196,F$5)</f>
        <v>0</v>
      </c>
      <c r="G18" s="0">
        <f>COUNTIFS(Items!$B$2:$B$196,$A18,Items!$F$2:$F$196,G$5)</f>
        <v>0</v>
      </c>
      <c r="H18" s="0">
        <f>COUNTIFS(Items!$B$2:$B$196,$A18,Items!$F$2:$F$196,H$5)</f>
        <v>0</v>
      </c>
      <c r="I18" s="0">
        <f>COUNTIFS(Items!$B$2:$B$196,$A18,Items!$G$2:$G$196,"Approved")</f>
        <v>0</v>
      </c>
      <c r="J18" s="0">
        <f>COUNTIFS(Items!$B$2:$B$196,$A18,Items!$G$2:$G$196,"Pending")</f>
        <v>9</v>
      </c>
      <c r="K18" s="4">
        <f>IF(B18-G18=0,0,(D18+E18+F18)/(B18-G18))</f>
        <v>0.0</v>
      </c>
      <c r="L18" s="4">
        <f>IF(B18-G18=0,0,H18/(B18-G18))</f>
        <v>0.0</v>
      </c>
    </row>
    <row r="19">
      <c r="A19" s="0" t="inlineStr">
        <is>
          <t xml:space="preserve">SoD Reports</t>
        </is>
      </c>
      <c r="B19" s="0">
        <f>COUNTIFS(Items!$B$2:$B$196,$A19)</f>
        <v>4</v>
      </c>
      <c r="C19" s="0">
        <f>COUNTIFS(Items!$B$2:$B$196,$A19,Items!$F$2:$F$196,C$5)</f>
        <v>4</v>
      </c>
      <c r="D19" s="0">
        <f>COUNTIFS(Items!$B$2:$B$196,$A19,Items!$F$2:$F$196,D$5)</f>
        <v>0</v>
      </c>
      <c r="E19" s="0">
        <f>COUNTIFS(Items!$B$2:$B$196,$A19,Items!$F$2:$F$196,E$5)</f>
        <v>0</v>
      </c>
      <c r="F19" s="0">
        <f>COUNTIFS(Items!$B$2:$B$196,$A19,Items!$F$2:$F$196,F$5)</f>
        <v>0</v>
      </c>
      <c r="G19" s="0">
        <f>COUNTIFS(Items!$B$2:$B$196,$A19,Items!$F$2:$F$196,G$5)</f>
        <v>0</v>
      </c>
      <c r="H19" s="0">
        <f>COUNTIFS(Items!$B$2:$B$196,$A19,Items!$F$2:$F$196,H$5)</f>
        <v>0</v>
      </c>
      <c r="I19" s="0">
        <f>COUNTIFS(Items!$B$2:$B$196,$A19,Items!$G$2:$G$196,"Approved")</f>
        <v>0</v>
      </c>
      <c r="J19" s="0">
        <f>COUNTIFS(Items!$B$2:$B$196,$A19,Items!$G$2:$G$196,"Pending")</f>
        <v>4</v>
      </c>
      <c r="K19" s="4">
        <f>IF(B19-G19=0,0,(D19+E19+F19)/(B19-G19))</f>
        <v>0.0</v>
      </c>
      <c r="L19" s="4">
        <f>IF(B19-G19=0,0,H19/(B19-G19))</f>
        <v>0.0</v>
      </c>
    </row>
    <row r="20">
      <c r="A20" s="0" t="inlineStr">
        <is>
          <t xml:space="preserve">Settings and Data Sources</t>
        </is>
      </c>
      <c r="B20" s="0">
        <f>COUNTIFS(Items!$B$2:$B$196,$A20)</f>
        <v>22</v>
      </c>
      <c r="C20" s="0">
        <f>COUNTIFS(Items!$B$2:$B$196,$A20,Items!$F$2:$F$196,C$5)</f>
        <v>22</v>
      </c>
      <c r="D20" s="0">
        <f>COUNTIFS(Items!$B$2:$B$196,$A20,Items!$F$2:$F$196,D$5)</f>
        <v>0</v>
      </c>
      <c r="E20" s="0">
        <f>COUNTIFS(Items!$B$2:$B$196,$A20,Items!$F$2:$F$196,E$5)</f>
        <v>0</v>
      </c>
      <c r="F20" s="0">
        <f>COUNTIFS(Items!$B$2:$B$196,$A20,Items!$F$2:$F$196,F$5)</f>
        <v>0</v>
      </c>
      <c r="G20" s="0">
        <f>COUNTIFS(Items!$B$2:$B$196,$A20,Items!$F$2:$F$196,G$5)</f>
        <v>0</v>
      </c>
      <c r="H20" s="0">
        <f>COUNTIFS(Items!$B$2:$B$196,$A20,Items!$F$2:$F$196,H$5)</f>
        <v>0</v>
      </c>
      <c r="I20" s="0">
        <f>COUNTIFS(Items!$B$2:$B$196,$A20,Items!$G$2:$G$196,"Approved")</f>
        <v>0</v>
      </c>
      <c r="J20" s="0">
        <f>COUNTIFS(Items!$B$2:$B$196,$A20,Items!$G$2:$G$196,"Pending")</f>
        <v>22</v>
      </c>
      <c r="K20" s="4">
        <f>IF(B20-G20=0,0,(D20+E20+F20)/(B20-G20))</f>
        <v>0.0</v>
      </c>
      <c r="L20" s="4">
        <f>IF(B20-G20=0,0,H20/(B20-G20))</f>
        <v>0.0</v>
      </c>
    </row>
    <row r="21">
      <c r="A21" s="0" t="inlineStr">
        <is>
          <t xml:space="preserve">SAP Modules</t>
        </is>
      </c>
      <c r="B21" s="0">
        <f>COUNTIFS(Items!$B$2:$B$196,$A21)</f>
        <v>2</v>
      </c>
      <c r="C21" s="0">
        <f>COUNTIFS(Items!$B$2:$B$196,$A21,Items!$F$2:$F$196,C$5)</f>
        <v>2</v>
      </c>
      <c r="D21" s="0">
        <f>COUNTIFS(Items!$B$2:$B$196,$A21,Items!$F$2:$F$196,D$5)</f>
        <v>0</v>
      </c>
      <c r="E21" s="0">
        <f>COUNTIFS(Items!$B$2:$B$196,$A21,Items!$F$2:$F$196,E$5)</f>
        <v>0</v>
      </c>
      <c r="F21" s="0">
        <f>COUNTIFS(Items!$B$2:$B$196,$A21,Items!$F$2:$F$196,F$5)</f>
        <v>0</v>
      </c>
      <c r="G21" s="0">
        <f>COUNTIFS(Items!$B$2:$B$196,$A21,Items!$F$2:$F$196,G$5)</f>
        <v>0</v>
      </c>
      <c r="H21" s="0">
        <f>COUNTIFS(Items!$B$2:$B$196,$A21,Items!$F$2:$F$196,H$5)</f>
        <v>0</v>
      </c>
      <c r="I21" s="0">
        <f>COUNTIFS(Items!$B$2:$B$196,$A21,Items!$G$2:$G$196,"Approved")</f>
        <v>0</v>
      </c>
      <c r="J21" s="0">
        <f>COUNTIFS(Items!$B$2:$B$196,$A21,Items!$G$2:$G$196,"Pending")</f>
        <v>2</v>
      </c>
      <c r="K21" s="4">
        <f>IF(B21-G21=0,0,(D21+E21+F21)/(B21-G21))</f>
        <v>0.0</v>
      </c>
      <c r="L21" s="4">
        <f>IF(B21-G21=0,0,H21/(B21-G21))</f>
        <v>0.0</v>
      </c>
    </row>
    <row r="22">
      <c r="A22" s="0" t="inlineStr">
        <is>
          <t xml:space="preserve">SoD Risk Configuration</t>
        </is>
      </c>
      <c r="B22" s="0">
        <f>COUNTIFS(Items!$B$2:$B$196,$A22)</f>
        <v>6</v>
      </c>
      <c r="C22" s="0">
        <f>COUNTIFS(Items!$B$2:$B$196,$A22,Items!$F$2:$F$196,C$5)</f>
        <v>6</v>
      </c>
      <c r="D22" s="0">
        <f>COUNTIFS(Items!$B$2:$B$196,$A22,Items!$F$2:$F$196,D$5)</f>
        <v>0</v>
      </c>
      <c r="E22" s="0">
        <f>COUNTIFS(Items!$B$2:$B$196,$A22,Items!$F$2:$F$196,E$5)</f>
        <v>0</v>
      </c>
      <c r="F22" s="0">
        <f>COUNTIFS(Items!$B$2:$B$196,$A22,Items!$F$2:$F$196,F$5)</f>
        <v>0</v>
      </c>
      <c r="G22" s="0">
        <f>COUNTIFS(Items!$B$2:$B$196,$A22,Items!$F$2:$F$196,G$5)</f>
        <v>0</v>
      </c>
      <c r="H22" s="0">
        <f>COUNTIFS(Items!$B$2:$B$196,$A22,Items!$F$2:$F$196,H$5)</f>
        <v>0</v>
      </c>
      <c r="I22" s="0">
        <f>COUNTIFS(Items!$B$2:$B$196,$A22,Items!$G$2:$G$196,"Approved")</f>
        <v>0</v>
      </c>
      <c r="J22" s="0">
        <f>COUNTIFS(Items!$B$2:$B$196,$A22,Items!$G$2:$G$196,"Pending")</f>
        <v>6</v>
      </c>
      <c r="K22" s="4">
        <f>IF(B22-G22=0,0,(D22+E22+F22)/(B22-G22))</f>
        <v>0.0</v>
      </c>
      <c r="L22" s="4">
        <f>IF(B22-G22=0,0,H22/(B22-G22))</f>
        <v>0.0</v>
      </c>
    </row>
    <row r="23">
      <c r="A23" s="0" t="inlineStr">
        <is>
          <t xml:space="preserve">Component Library</t>
        </is>
      </c>
      <c r="B23" s="0">
        <f>COUNTIFS(Items!$B$2:$B$196,$A23)</f>
        <v>22</v>
      </c>
      <c r="C23" s="0">
        <f>COUNTIFS(Items!$B$2:$B$196,$A23,Items!$F$2:$F$196,C$5)</f>
        <v>21</v>
      </c>
      <c r="D23" s="0">
        <f>COUNTIFS(Items!$B$2:$B$196,$A23,Items!$F$2:$F$196,D$5)</f>
        <v>0</v>
      </c>
      <c r="E23" s="0">
        <f>COUNTIFS(Items!$B$2:$B$196,$A23,Items!$F$2:$F$196,E$5)</f>
        <v>0</v>
      </c>
      <c r="F23" s="0">
        <f>COUNTIFS(Items!$B$2:$B$196,$A23,Items!$F$2:$F$196,F$5)</f>
        <v>1</v>
      </c>
      <c r="G23" s="0">
        <f>COUNTIFS(Items!$B$2:$B$196,$A23,Items!$F$2:$F$196,G$5)</f>
        <v>0</v>
      </c>
      <c r="H23" s="0">
        <f>COUNTIFS(Items!$B$2:$B$196,$A23,Items!$F$2:$F$196,H$5)</f>
        <v>0</v>
      </c>
      <c r="I23" s="0">
        <f>COUNTIFS(Items!$B$2:$B$196,$A23,Items!$G$2:$G$196,"Approved")</f>
        <v>0</v>
      </c>
      <c r="J23" s="0">
        <f>COUNTIFS(Items!$B$2:$B$196,$A23,Items!$G$2:$G$196,"Pending")</f>
        <v>22</v>
      </c>
      <c r="K23" s="4">
        <f>IF(B23-G23=0,0,(D23+E23+F23)/(B23-G23))</f>
        <v>0.045455</v>
      </c>
      <c r="L23" s="4">
        <f>IF(B23-G23=0,0,H23/(B23-G23))</f>
        <v>0.0</v>
      </c>
    </row>
    <row r="24">
      <c r="A24" s="0" t="inlineStr">
        <is>
          <t xml:space="preserve">Desktop and Startup</t>
        </is>
      </c>
      <c r="B24" s="0">
        <f>COUNTIFS(Items!$B$2:$B$196,$A24)</f>
        <v>3</v>
      </c>
      <c r="C24" s="0">
        <f>COUNTIFS(Items!$B$2:$B$196,$A24,Items!$F$2:$F$196,C$5)</f>
        <v>1</v>
      </c>
      <c r="D24" s="0">
        <f>COUNTIFS(Items!$B$2:$B$196,$A24,Items!$F$2:$F$196,D$5)</f>
        <v>0</v>
      </c>
      <c r="E24" s="0">
        <f>COUNTIFS(Items!$B$2:$B$196,$A24,Items!$F$2:$F$196,E$5)</f>
        <v>0</v>
      </c>
      <c r="F24" s="0">
        <f>COUNTIFS(Items!$B$2:$B$196,$A24,Items!$F$2:$F$196,F$5)</f>
        <v>0</v>
      </c>
      <c r="G24" s="0">
        <f>COUNTIFS(Items!$B$2:$B$196,$A24,Items!$F$2:$F$196,G$5)</f>
        <v>2</v>
      </c>
      <c r="H24" s="0">
        <f>COUNTIFS(Items!$B$2:$B$196,$A24,Items!$F$2:$F$196,H$5)</f>
        <v>0</v>
      </c>
      <c r="I24" s="0">
        <f>COUNTIFS(Items!$B$2:$B$196,$A24,Items!$G$2:$G$196,"Approved")</f>
        <v>0</v>
      </c>
      <c r="J24" s="0">
        <f>COUNTIFS(Items!$B$2:$B$196,$A24,Items!$G$2:$G$196,"Pending")</f>
        <v>3</v>
      </c>
      <c r="K24" s="4">
        <f>IF(B24-G24=0,0,(D24+E24+F24)/(B24-G24))</f>
        <v>0.0</v>
      </c>
      <c r="L24" s="4">
        <f>IF(B24-G24=0,0,H24/(B24-G24))</f>
        <v>0.0</v>
      </c>
    </row>
    <row r="25">
      <c r="A25" s="0" t="inlineStr">
        <is>
          <t xml:space="preserve">Server and Deployment</t>
        </is>
      </c>
      <c r="B25" s="0">
        <f>COUNTIFS(Items!$B$2:$B$196,$A25)</f>
        <v>3</v>
      </c>
      <c r="C25" s="0">
        <f>COUNTIFS(Items!$B$2:$B$196,$A25,Items!$F$2:$F$196,C$5)</f>
        <v>2</v>
      </c>
      <c r="D25" s="0">
        <f>COUNTIFS(Items!$B$2:$B$196,$A25,Items!$F$2:$F$196,D$5)</f>
        <v>0</v>
      </c>
      <c r="E25" s="0">
        <f>COUNTIFS(Items!$B$2:$B$196,$A25,Items!$F$2:$F$196,E$5)</f>
        <v>0</v>
      </c>
      <c r="F25" s="0">
        <f>COUNTIFS(Items!$B$2:$B$196,$A25,Items!$F$2:$F$196,F$5)</f>
        <v>0</v>
      </c>
      <c r="G25" s="0">
        <f>COUNTIFS(Items!$B$2:$B$196,$A25,Items!$F$2:$F$196,G$5)</f>
        <v>1</v>
      </c>
      <c r="H25" s="0">
        <f>COUNTIFS(Items!$B$2:$B$196,$A25,Items!$F$2:$F$196,H$5)</f>
        <v>0</v>
      </c>
      <c r="I25" s="0">
        <f>COUNTIFS(Items!$B$2:$B$196,$A25,Items!$G$2:$G$196,"Approved")</f>
        <v>0</v>
      </c>
      <c r="J25" s="0">
        <f>COUNTIFS(Items!$B$2:$B$196,$A25,Items!$G$2:$G$196,"Pending")</f>
        <v>3</v>
      </c>
      <c r="K25" s="4">
        <f>IF(B25-G25=0,0,(D25+E25+F25)/(B25-G25))</f>
        <v>0.0</v>
      </c>
      <c r="L25" s="4">
        <f>IF(B25-G25=0,0,H25/(B25-G25))</f>
        <v>0.0</v>
      </c>
    </row>
    <row r="26">
      <c r="A26" s="0" t="inlineStr">
        <is>
          <t xml:space="preserve">Accessibility and Responsive Design</t>
        </is>
      </c>
      <c r="B26" s="0">
        <f>COUNTIFS(Items!$B$2:$B$196,$A26)</f>
        <v>3</v>
      </c>
      <c r="C26" s="0">
        <f>COUNTIFS(Items!$B$2:$B$196,$A26,Items!$F$2:$F$196,C$5)</f>
        <v>3</v>
      </c>
      <c r="D26" s="0">
        <f>COUNTIFS(Items!$B$2:$B$196,$A26,Items!$F$2:$F$196,D$5)</f>
        <v>0</v>
      </c>
      <c r="E26" s="0">
        <f>COUNTIFS(Items!$B$2:$B$196,$A26,Items!$F$2:$F$196,E$5)</f>
        <v>0</v>
      </c>
      <c r="F26" s="0">
        <f>COUNTIFS(Items!$B$2:$B$196,$A26,Items!$F$2:$F$196,F$5)</f>
        <v>0</v>
      </c>
      <c r="G26" s="0">
        <f>COUNTIFS(Items!$B$2:$B$196,$A26,Items!$F$2:$F$196,G$5)</f>
        <v>0</v>
      </c>
      <c r="H26" s="0">
        <f>COUNTIFS(Items!$B$2:$B$196,$A26,Items!$F$2:$F$196,H$5)</f>
        <v>0</v>
      </c>
      <c r="I26" s="0">
        <f>COUNTIFS(Items!$B$2:$B$196,$A26,Items!$G$2:$G$196,"Approved")</f>
        <v>0</v>
      </c>
      <c r="J26" s="0">
        <f>COUNTIFS(Items!$B$2:$B$196,$A26,Items!$G$2:$G$196,"Pending")</f>
        <v>3</v>
      </c>
      <c r="K26" s="4">
        <f>IF(B26-G26=0,0,(D26+E26+F26)/(B26-G26))</f>
        <v>0.0</v>
      </c>
      <c r="L26" s="4">
        <f>IF(B26-G26=0,0,H26/(B26-G26))</f>
        <v>0.0</v>
      </c>
    </row>
    <row r="27">
      <c r="A27" s="0" t="inlineStr">
        <is>
          <t xml:space="preserve">Security and Data Integrity</t>
        </is>
      </c>
      <c r="B27" s="0">
        <f>COUNTIFS(Items!$B$2:$B$196,$A27)</f>
        <v>12</v>
      </c>
      <c r="C27" s="0">
        <f>COUNTIFS(Items!$B$2:$B$196,$A27,Items!$F$2:$F$196,C$5)</f>
        <v>12</v>
      </c>
      <c r="D27" s="0">
        <f>COUNTIFS(Items!$B$2:$B$196,$A27,Items!$F$2:$F$196,D$5)</f>
        <v>0</v>
      </c>
      <c r="E27" s="0">
        <f>COUNTIFS(Items!$B$2:$B$196,$A27,Items!$F$2:$F$196,E$5)</f>
        <v>0</v>
      </c>
      <c r="F27" s="0">
        <f>COUNTIFS(Items!$B$2:$B$196,$A27,Items!$F$2:$F$196,F$5)</f>
        <v>0</v>
      </c>
      <c r="G27" s="0">
        <f>COUNTIFS(Items!$B$2:$B$196,$A27,Items!$F$2:$F$196,G$5)</f>
        <v>0</v>
      </c>
      <c r="H27" s="0">
        <f>COUNTIFS(Items!$B$2:$B$196,$A27,Items!$F$2:$F$196,H$5)</f>
        <v>0</v>
      </c>
      <c r="I27" s="0">
        <f>COUNTIFS(Items!$B$2:$B$196,$A27,Items!$G$2:$G$196,"Approved")</f>
        <v>0</v>
      </c>
      <c r="J27" s="0">
        <f>COUNTIFS(Items!$B$2:$B$196,$A27,Items!$G$2:$G$196,"Pending")</f>
        <v>12</v>
      </c>
      <c r="K27" s="4">
        <f>IF(B27-G27=0,0,(D27+E27+F27)/(B27-G27))</f>
        <v>0.0</v>
      </c>
      <c r="L27" s="4">
        <f>IF(B27-G27=0,0,H27/(B27-G27))</f>
        <v>0.0</v>
      </c>
    </row>
    <row r="28">
      <c r="A28" s="5" t="inlineStr">
        <is>
          <t xml:space="preserve">All areas</t>
        </is>
      </c>
      <c r="B28" s="5">
        <f>SUM(B6:B27)</f>
        <v>195</v>
      </c>
      <c r="C28" s="5">
        <f>SUM(C6:C27)</f>
        <v>189</v>
      </c>
      <c r="D28" s="5">
        <f>SUM(D6:D27)</f>
        <v>0</v>
      </c>
      <c r="E28" s="5">
        <f>SUM(E6:E27)</f>
        <v>0</v>
      </c>
      <c r="F28" s="5">
        <f>SUM(F6:F27)</f>
        <v>3</v>
      </c>
      <c r="G28" s="5">
        <f>SUM(G6:G27)</f>
        <v>3</v>
      </c>
      <c r="H28" s="5">
        <f>SUM(H6:H27)</f>
        <v>0</v>
      </c>
      <c r="I28" s="5">
        <f>SUM(I6:I27)</f>
        <v>0</v>
      </c>
      <c r="J28" s="5">
        <f>SUM(J6:J27)</f>
        <v>195</v>
      </c>
      <c r="K28" s="4">
        <f>IF(B28-G28=0,0,(D28+E28+F28)/(B28-G28))</f>
        <v>0.015385</v>
      </c>
      <c r="L28" s="4">
        <f>IF(B28-G28=0,0,H28/(B28-G28))</f>
        <v>0.0</v>
      </c>
    </row>
    <row r="30">
      <c r="A30" s="1" t="inlineStr">
        <is>
          <t xml:space="preserve">Outstanding</t>
        </is>
      </c>
      <c r="B30" s="1" t="inlineStr">
        <is>
          <t xml:space="preserve">Count</t>
        </is>
      </c>
    </row>
    <row r="31">
      <c r="A31" s="0" t="inlineStr">
        <is>
          <t xml:space="preserve">Failed items</t>
        </is>
      </c>
      <c r="B31" s="0">
        <f>COUNTIFS(Items!$F$2:$F$196,"Failed")</f>
        <v>0</v>
      </c>
    </row>
    <row r="32">
      <c r="A32" s="0" t="inlineStr">
        <is>
          <t xml:space="preserve">Items needing improvement</t>
        </is>
      </c>
      <c r="B32" s="0">
        <f>COUNTIFS(Items!$F$2:$F$196,"Needs improvement")</f>
        <v>3</v>
      </c>
    </row>
    <row r="33">
      <c r="A33" s="0" t="inlineStr">
        <is>
          <t xml:space="preserve">Blocked items</t>
        </is>
      </c>
      <c r="B33" s="0">
        <f>COUNTIFS(Items!$F$2:$F$196,"Blocked")</f>
        <v>3</v>
      </c>
    </row>
    <row r="34">
      <c r="A34" s="0" t="inlineStr">
        <is>
          <t xml:space="preserve">Items linked to an open finding</t>
        </is>
      </c>
      <c r="B34" s="0">
        <f>COUNTIFS(Items!$L$2:$L$196,"&lt;&gt;",Items!$F$2:$F$196,"&lt;&gt;Passed")</f>
        <v>7</v>
      </c>
    </row>
    <row r="35">
      <c r="A35" s="0" t="inlineStr">
        <is>
          <t xml:space="preserve">Items with automated test evidence</t>
        </is>
      </c>
      <c r="B35" s="0">
        <f>COUNTIFS(Items!$H$2:$H$196,"&lt;&gt;")</f>
        <v>55</v>
      </c>
    </row>
  </sheetData>
</worksheet>
</file>

<file path=xl/worksheets/sheet2.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60" customWidth="1"/>
    <col min="5" max="5" width="11" customWidth="1"/>
    <col min="6" max="6" width="16" customWidth="1"/>
    <col min="7" max="7" width="14" customWidth="1"/>
    <col min="8" max="8" width="40" customWidth="1"/>
    <col min="9" max="9" width="14" customWidth="1"/>
    <col min="10" max="10" width="14" customWidth="1"/>
    <col min="11" max="11" width="44" customWidth="1"/>
    <col min="12" max="12" width="24" customWidth="1"/>
    <col min="13" max="13" width="36" customWidth="1"/>
    <col min="14" max="14" width="40" customWidth="1"/>
    <col min="15" max="15" width="36" customWidth="1"/>
    <col min="16" max="16" width="36" customWidth="1"/>
    <col min="17" max="17" width="18" customWidth="1"/>
    <col min="18" max="18" width="20" customWidth="1"/>
    <col min="19" max="19" width="14" customWidth="1"/>
  </cols>
  <sheetData>
    <row r="1">
      <c r="A1" s="1" t="inlineStr">
        <is>
          <t xml:space="preserve">ID</t>
        </is>
      </c>
      <c r="B1" s="1" t="inlineStr">
        <is>
          <t xml:space="preserve">Area</t>
        </is>
      </c>
      <c r="C1" s="1" t="inlineStr">
        <is>
          <t xml:space="preserve">Page/component</t>
        </is>
      </c>
      <c r="D1" s="1" t="inlineStr">
        <is>
          <t xml:space="preserve">Validation criterion</t>
        </is>
      </c>
      <c r="E1" s="1" t="inlineStr">
        <is>
          <t xml:space="preserve">Priority</t>
        </is>
      </c>
      <c r="F1" s="1" t="inlineStr">
        <is>
          <t xml:space="preserve">Status</t>
        </is>
      </c>
      <c r="G1" s="1" t="inlineStr">
        <is>
          <t xml:space="preserve">Manual approval</t>
        </is>
      </c>
      <c r="H1" s="1" t="inlineStr">
        <is>
          <t xml:space="preserve">Automated test evidence</t>
        </is>
      </c>
      <c r="I1" s="1" t="inlineStr">
        <is>
          <t xml:space="preserve">Last validated date</t>
        </is>
      </c>
      <c r="J1" s="1" t="inlineStr">
        <is>
          <t xml:space="preserve">Build/commit</t>
        </is>
      </c>
      <c r="K1" s="1" t="inlineStr">
        <is>
          <t xml:space="preserve">Notes</t>
        </is>
      </c>
      <c r="L1" s="1" t="inlineStr">
        <is>
          <t xml:space="preserve">Linked issue or finding</t>
        </is>
      </c>
      <c r="M1" s="1" t="inlineStr">
        <is>
          <t xml:space="preserve">Potential future improvement</t>
        </is>
      </c>
      <c r="N1" s="1" t="inlineStr">
        <is>
          <t xml:space="preserve">Manual validation steps</t>
        </is>
      </c>
      <c r="O1" s="1" t="inlineStr">
        <is>
          <t xml:space="preserve">Known limitations</t>
        </is>
      </c>
      <c r="P1" s="1" t="inlineStr">
        <is>
          <t xml:space="preserve">Implementation reference</t>
        </is>
      </c>
      <c r="Q1" s="1" t="inlineStr">
        <is>
          <t xml:space="preserve">Implementation status</t>
        </is>
      </c>
      <c r="R1" s="1" t="inlineStr">
        <is>
          <t xml:space="preserve">Classification</t>
        </is>
      </c>
      <c r="S1" s="1" t="inlineStr">
        <is>
          <t xml:space="preserve">Retest status</t>
        </is>
      </c>
    </row>
    <row r="2">
      <c r="A2" s="2" t="inlineStr">
        <is>
          <t xml:space="preserve">DASH-001</t>
        </is>
      </c>
      <c r="B2" s="2" t="inlineStr">
        <is>
          <t xml:space="preserve">Dashboard</t>
        </is>
      </c>
      <c r="C2" s="2" t="inlineStr">
        <is>
          <t xml:space="preserve">Dashboard › Access &amp; Risk card</t>
        </is>
      </c>
      <c r="D2" s="2" t="inlineStr">
        <is>
          <t xml:space="preserve">SAP users, role assignment records and risk figures match the loaded data and open the matching filtered view.</t>
        </is>
      </c>
      <c r="E2" s="2" t="inlineStr">
        <is>
          <t xml:space="preserve">Not set</t>
        </is>
      </c>
      <c r="F2" s="2" t="inlineStr">
        <is>
          <t xml:space="preserve">Not tested</t>
        </is>
      </c>
      <c r="G2" s="2" t="inlineStr">
        <is>
          <t xml:space="preserve">Pending</t>
        </is>
      </c>
      <c r="H2" s="2" t="inlineStr">
        <is>
          <t xml:space="preserve"/>
        </is>
      </c>
      <c r="I2" s="2" t="inlineStr">
        <is>
          <t xml:space="preserve"/>
        </is>
      </c>
      <c r="J2" s="2" t="inlineStr">
        <is>
          <t xml:space="preserve"/>
        </is>
      </c>
      <c r="K2" s="2" t="inlineStr">
        <is>
          <t xml:space="preserve"/>
        </is>
      </c>
      <c r="L2" s="2" t="inlineStr">
        <is>
          <t xml:space="preserve"/>
        </is>
      </c>
      <c r="M2" s="2" t="inlineStr">
        <is>
          <t xml:space="preserve"/>
        </is>
      </c>
      <c r="N2" s="2" t="inlineStr">
        <is>
          <t xml:space="preserve"/>
        </is>
      </c>
      <c r="O2" s="2" t="inlineStr">
        <is>
          <t xml:space="preserve"/>
        </is>
      </c>
      <c r="P2" s="2" t="inlineStr">
        <is>
          <t xml:space="preserve">docs/features/DASHBOARD.md; frontend/tests/dashboard-user-transactions.spec.ts</t>
        </is>
      </c>
      <c r="Q2" s="2" t="inlineStr">
        <is>
          <t xml:space="preserve">Not assessed</t>
        </is>
      </c>
      <c r="R2" s="2" t="inlineStr">
        <is>
          <t xml:space="preserve">Unclassified</t>
        </is>
      </c>
      <c r="S2" s="2" t="inlineStr">
        <is>
          <t xml:space="preserve">Not started</t>
        </is>
      </c>
    </row>
    <row r="3">
      <c r="A3" s="2" t="inlineStr">
        <is>
          <t xml:space="preserve">DASH-002</t>
        </is>
      </c>
      <c r="B3" s="2" t="inlineStr">
        <is>
          <t xml:space="preserve">Dashboard</t>
        </is>
      </c>
      <c r="C3" s="2" t="inlineStr">
        <is>
          <t xml:space="preserve">Dashboard › Review Progress card</t>
        </is>
      </c>
      <c r="D3" s="2" t="inlineStr">
        <is>
          <t xml:space="preserve">Completed, not yet reviewed and outdated reviews with the share reviewed; no invented trends.</t>
        </is>
      </c>
      <c r="E3" s="2" t="inlineStr">
        <is>
          <t xml:space="preserve">Not set</t>
        </is>
      </c>
      <c r="F3" s="2" t="inlineStr">
        <is>
          <t xml:space="preserve">Not tested</t>
        </is>
      </c>
      <c r="G3" s="2" t="inlineStr">
        <is>
          <t xml:space="preserve">Pending</t>
        </is>
      </c>
      <c r="H3" s="2" t="inlineStr">
        <is>
          <t xml:space="preserve"/>
        </is>
      </c>
      <c r="I3" s="2" t="inlineStr">
        <is>
          <t xml:space="preserve"/>
        </is>
      </c>
      <c r="J3" s="2" t="inlineStr">
        <is>
          <t xml:space="preserve"/>
        </is>
      </c>
      <c r="K3" s="2" t="inlineStr">
        <is>
          <t xml:space="preserve"/>
        </is>
      </c>
      <c r="L3" s="2" t="inlineStr">
        <is>
          <t xml:space="preserve"/>
        </is>
      </c>
      <c r="M3" s="2" t="inlineStr">
        <is>
          <t xml:space="preserve"/>
        </is>
      </c>
      <c r="N3" s="2" t="inlineStr">
        <is>
          <t xml:space="preserve"/>
        </is>
      </c>
      <c r="O3" s="2" t="inlineStr">
        <is>
          <t xml:space="preserve"/>
        </is>
      </c>
      <c r="P3" s="2" t="inlineStr">
        <is>
          <t xml:space="preserve">docs/features/DASHBOARD.md; frontend/tests/refinement-r2.spec.ts</t>
        </is>
      </c>
      <c r="Q3" s="2" t="inlineStr">
        <is>
          <t xml:space="preserve">Not assessed</t>
        </is>
      </c>
      <c r="R3" s="2" t="inlineStr">
        <is>
          <t xml:space="preserve">Unclassified</t>
        </is>
      </c>
      <c r="S3" s="2" t="inlineStr">
        <is>
          <t xml:space="preserve">Not started</t>
        </is>
      </c>
    </row>
    <row r="4">
      <c r="A4" s="2" t="inlineStr">
        <is>
          <t xml:space="preserve">DASH-003</t>
        </is>
      </c>
      <c r="B4" s="2" t="inlineStr">
        <is>
          <t xml:space="preserve">Dashboard</t>
        </is>
      </c>
      <c r="C4" s="2" t="inlineStr">
        <is>
          <t xml:space="preserve">Dashboard › Directory &amp; Data Health card</t>
        </is>
      </c>
      <c r="D4" s="2" t="inlineStr">
        <is>
          <t xml:space="preserve">Match percentage uses the central thresholds; matched, missing and ambiguous partition the SAP users; position changes are independent.</t>
        </is>
      </c>
      <c r="E4" s="2" t="inlineStr">
        <is>
          <t xml:space="preserve">Not set</t>
        </is>
      </c>
      <c r="F4" s="2" t="inlineStr">
        <is>
          <t xml:space="preserve">Not tested</t>
        </is>
      </c>
      <c r="G4" s="2" t="inlineStr">
        <is>
          <t xml:space="preserve">Pending</t>
        </is>
      </c>
      <c r="H4" s="2" t="inlineStr">
        <is>
          <t xml:space="preserve"/>
        </is>
      </c>
      <c r="I4" s="2" t="inlineStr">
        <is>
          <t xml:space="preserve"/>
        </is>
      </c>
      <c r="J4" s="2" t="inlineStr">
        <is>
          <t xml:space="preserve"/>
        </is>
      </c>
      <c r="K4" s="2" t="inlineStr">
        <is>
          <t xml:space="preserve"/>
        </is>
      </c>
      <c r="L4" s="2" t="inlineStr">
        <is>
          <t xml:space="preserve"/>
        </is>
      </c>
      <c r="M4" s="2" t="inlineStr">
        <is>
          <t xml:space="preserve"/>
        </is>
      </c>
      <c r="N4" s="2" t="inlineStr">
        <is>
          <t xml:space="preserve"/>
        </is>
      </c>
      <c r="O4" s="2" t="inlineStr">
        <is>
          <t xml:space="preserve"/>
        </is>
      </c>
      <c r="P4" s="2" t="inlineStr">
        <is>
          <t xml:space="preserve">docs/features/DASHBOARD.md; frontend/tests/refinement-r2.spec.ts</t>
        </is>
      </c>
      <c r="Q4" s="2" t="inlineStr">
        <is>
          <t xml:space="preserve">Not assessed</t>
        </is>
      </c>
      <c r="R4" s="2" t="inlineStr">
        <is>
          <t xml:space="preserve">Unclassified</t>
        </is>
      </c>
      <c r="S4" s="2" t="inlineStr">
        <is>
          <t xml:space="preserve">Not started</t>
        </is>
      </c>
    </row>
    <row r="5">
      <c r="A5" s="2" t="inlineStr">
        <is>
          <t xml:space="preserve">DASH-004</t>
        </is>
      </c>
      <c r="B5" s="2" t="inlineStr">
        <is>
          <t xml:space="preserve">Dashboard</t>
        </is>
      </c>
      <c r="C5" s="2" t="inlineStr">
        <is>
          <t xml:space="preserve">Dashboard › Segregation of Duties card</t>
        </is>
      </c>
      <c r="D5" s="2" t="inlineStr">
        <is>
          <t xml:space="preserve">Distinct loading, failed, unavailable and ready states; counts open the matching SoD view.</t>
        </is>
      </c>
      <c r="E5" s="2" t="inlineStr">
        <is>
          <t xml:space="preserve">Not set</t>
        </is>
      </c>
      <c r="F5" s="2" t="inlineStr">
        <is>
          <t xml:space="preserve">Not tested</t>
        </is>
      </c>
      <c r="G5" s="2" t="inlineStr">
        <is>
          <t xml:space="preserve">Pending</t>
        </is>
      </c>
      <c r="H5" s="2" t="inlineStr">
        <is>
          <t xml:space="preserve"/>
        </is>
      </c>
      <c r="I5" s="2" t="inlineStr">
        <is>
          <t xml:space="preserve"/>
        </is>
      </c>
      <c r="J5" s="2" t="inlineStr">
        <is>
          <t xml:space="preserve"/>
        </is>
      </c>
      <c r="K5" s="2" t="inlineStr">
        <is>
          <t xml:space="preserve"/>
        </is>
      </c>
      <c r="L5" s="2" t="inlineStr">
        <is>
          <t xml:space="preserve"/>
        </is>
      </c>
      <c r="M5" s="2" t="inlineStr">
        <is>
          <t xml:space="preserve"/>
        </is>
      </c>
      <c r="N5" s="2" t="inlineStr">
        <is>
          <t xml:space="preserve"/>
        </is>
      </c>
      <c r="O5" s="2" t="inlineStr">
        <is>
          <t xml:space="preserve"/>
        </is>
      </c>
      <c r="P5" s="2" t="inlineStr">
        <is>
          <t xml:space="preserve">docs/features/DASHBOARD.md; frontend/tests/sod-dashboard-startup.spec.ts, frontend/tests/sod-overview-heatmap.spec.ts</t>
        </is>
      </c>
      <c r="Q5" s="2" t="inlineStr">
        <is>
          <t xml:space="preserve">Not assessed</t>
        </is>
      </c>
      <c r="R5" s="2" t="inlineStr">
        <is>
          <t xml:space="preserve">Unclassified</t>
        </is>
      </c>
      <c r="S5" s="2" t="inlineStr">
        <is>
          <t xml:space="preserve">Not started</t>
        </is>
      </c>
    </row>
    <row r="6">
      <c r="A6" s="2" t="inlineStr">
        <is>
          <t xml:space="preserve">DASH-005</t>
        </is>
      </c>
      <c r="B6" s="2" t="inlineStr">
        <is>
          <t xml:space="preserve">Dashboard</t>
        </is>
      </c>
      <c r="C6" s="2" t="inlineStr">
        <is>
          <t xml:space="preserve">Dashboard › Data Sources &amp; Configuration</t>
        </is>
      </c>
      <c r="D6" s="2" t="inlineStr">
        <is>
          <t xml:space="preserve">Source cards report Ready, Loading, Refreshing and Failed honestly and link to their settings.</t>
        </is>
      </c>
      <c r="E6" s="2" t="inlineStr">
        <is>
          <t xml:space="preserve">Not set</t>
        </is>
      </c>
      <c r="F6" s="2" t="inlineStr">
        <is>
          <t xml:space="preserve">Not tested</t>
        </is>
      </c>
      <c r="G6" s="2" t="inlineStr">
        <is>
          <t xml:space="preserve">Pending</t>
        </is>
      </c>
      <c r="H6" s="2" t="inlineStr">
        <is>
          <t xml:space="preserve"/>
        </is>
      </c>
      <c r="I6" s="2" t="inlineStr">
        <is>
          <t xml:space="preserve"/>
        </is>
      </c>
      <c r="J6" s="2" t="inlineStr">
        <is>
          <t xml:space="preserve"/>
        </is>
      </c>
      <c r="K6" s="2" t="inlineStr">
        <is>
          <t xml:space="preserve"/>
        </is>
      </c>
      <c r="L6" s="2" t="inlineStr">
        <is>
          <t xml:space="preserve"/>
        </is>
      </c>
      <c r="M6" s="2" t="inlineStr">
        <is>
          <t xml:space="preserve"/>
        </is>
      </c>
      <c r="N6" s="2" t="inlineStr">
        <is>
          <t xml:space="preserve"/>
        </is>
      </c>
      <c r="O6" s="2" t="inlineStr">
        <is>
          <t xml:space="preserve"/>
        </is>
      </c>
      <c r="P6" s="2" t="inlineStr">
        <is>
          <t xml:space="preserve">docs/features/DASHBOARD.md; frontend/tests/startup-reliability.spec.ts</t>
        </is>
      </c>
      <c r="Q6" s="2" t="inlineStr">
        <is>
          <t xml:space="preserve">Not assessed</t>
        </is>
      </c>
      <c r="R6" s="2" t="inlineStr">
        <is>
          <t xml:space="preserve">Unclassified</t>
        </is>
      </c>
      <c r="S6" s="2" t="inlineStr">
        <is>
          <t xml:space="preserve">Not started</t>
        </is>
      </c>
    </row>
    <row r="7">
      <c r="A7" s="2" t="inlineStr">
        <is>
          <t xml:space="preserve">DASH-006</t>
        </is>
      </c>
      <c r="B7" s="2" t="inlineStr">
        <is>
          <t xml:space="preserve">Dashboard</t>
        </is>
      </c>
      <c r="C7" s="2" t="inlineStr">
        <is>
          <t xml:space="preserve">Dashboard › Assignment Distribution</t>
        </is>
      </c>
      <c r="D7" s="2" t="inlineStr">
        <is>
          <t xml:space="preserve">Five ranges (0-5, 6-10, 11-20, 21-30, 31+) over every SAP user with shares and a drilldown to User Access.</t>
        </is>
      </c>
      <c r="E7" s="2" t="inlineStr">
        <is>
          <t xml:space="preserve">Not set</t>
        </is>
      </c>
      <c r="F7" s="2" t="inlineStr">
        <is>
          <t xml:space="preserve">Not tested</t>
        </is>
      </c>
      <c r="G7" s="2" t="inlineStr">
        <is>
          <t xml:space="preserve">Pending</t>
        </is>
      </c>
      <c r="H7" s="2" t="inlineStr">
        <is>
          <t xml:space="preserve"/>
        </is>
      </c>
      <c r="I7" s="2" t="inlineStr">
        <is>
          <t xml:space="preserve"/>
        </is>
      </c>
      <c r="J7" s="2" t="inlineStr">
        <is>
          <t xml:space="preserve"/>
        </is>
      </c>
      <c r="K7" s="2" t="inlineStr">
        <is>
          <t xml:space="preserve"/>
        </is>
      </c>
      <c r="L7" s="2" t="inlineStr">
        <is>
          <t xml:space="preserve"/>
        </is>
      </c>
      <c r="M7" s="2" t="inlineStr">
        <is>
          <t xml:space="preserve"/>
        </is>
      </c>
      <c r="N7" s="2" t="inlineStr">
        <is>
          <t xml:space="preserve"/>
        </is>
      </c>
      <c r="O7" s="2" t="inlineStr">
        <is>
          <t xml:space="preserve"/>
        </is>
      </c>
      <c r="P7" s="2" t="inlineStr">
        <is>
          <t xml:space="preserve">docs/features/DASHBOARD.md; frontend/tests/refinement-round2.spec.ts</t>
        </is>
      </c>
      <c r="Q7" s="2" t="inlineStr">
        <is>
          <t xml:space="preserve">Not assessed</t>
        </is>
      </c>
      <c r="R7" s="2" t="inlineStr">
        <is>
          <t xml:space="preserve">Unclassified</t>
        </is>
      </c>
      <c r="S7" s="2" t="inlineStr">
        <is>
          <t xml:space="preserve">Not started</t>
        </is>
      </c>
    </row>
    <row r="8">
      <c r="A8" s="2" t="inlineStr">
        <is>
          <t xml:space="preserve">DASH-007</t>
        </is>
      </c>
      <c r="B8" s="2" t="inlineStr">
        <is>
          <t xml:space="preserve">Dashboard</t>
        </is>
      </c>
      <c r="C8" s="2" t="inlineStr">
        <is>
          <t xml:space="preserve">Dashboard › Role Distribution</t>
        </is>
      </c>
      <c r="D8" s="2" t="inlineStr">
        <is>
          <t xml:space="preserve">Five areas are listed and the rest open in a dialog; the grid never stretches.</t>
        </is>
      </c>
      <c r="E8" s="2" t="inlineStr">
        <is>
          <t xml:space="preserve">Not set</t>
        </is>
      </c>
      <c r="F8" s="2" t="inlineStr">
        <is>
          <t xml:space="preserve">Not tested</t>
        </is>
      </c>
      <c r="G8" s="2" t="inlineStr">
        <is>
          <t xml:space="preserve">Pending</t>
        </is>
      </c>
      <c r="H8" s="2" t="inlineStr">
        <is>
          <t xml:space="preserve"/>
        </is>
      </c>
      <c r="I8" s="2" t="inlineStr">
        <is>
          <t xml:space="preserve"/>
        </is>
      </c>
      <c r="J8" s="2" t="inlineStr">
        <is>
          <t xml:space="preserve"/>
        </is>
      </c>
      <c r="K8" s="2" t="inlineStr">
        <is>
          <t xml:space="preserve"/>
        </is>
      </c>
      <c r="L8" s="2" t="inlineStr">
        <is>
          <t xml:space="preserve"/>
        </is>
      </c>
      <c r="M8" s="2" t="inlineStr">
        <is>
          <t xml:space="preserve"/>
        </is>
      </c>
      <c r="N8" s="2" t="inlineStr">
        <is>
          <t xml:space="preserve"/>
        </is>
      </c>
      <c r="O8" s="2" t="inlineStr">
        <is>
          <t xml:space="preserve"/>
        </is>
      </c>
      <c r="P8" s="2" t="inlineStr">
        <is>
          <t xml:space="preserve">docs/features/DASHBOARD.md; frontend/tests/refinement-r2.spec.ts</t>
        </is>
      </c>
      <c r="Q8" s="2" t="inlineStr">
        <is>
          <t xml:space="preserve">Not assessed</t>
        </is>
      </c>
      <c r="R8" s="2" t="inlineStr">
        <is>
          <t xml:space="preserve">Unclassified</t>
        </is>
      </c>
      <c r="S8" s="2" t="inlineStr">
        <is>
          <t xml:space="preserve">Not started</t>
        </is>
      </c>
    </row>
    <row r="9">
      <c r="A9" s="2" t="inlineStr">
        <is>
          <t xml:space="preserve">DASH-008</t>
        </is>
      </c>
      <c r="B9" s="2" t="inlineStr">
        <is>
          <t xml:space="preserve">Dashboard</t>
        </is>
      </c>
      <c r="C9" s="2" t="inlineStr">
        <is>
          <t xml:space="preserve">Dashboard › Navigation and Back</t>
        </is>
      </c>
      <c r="D9" s="2" t="inlineStr">
        <is>
          <t xml:space="preserve">KPI and row links open filtered views and browser Back restores the Dashboard.</t>
        </is>
      </c>
      <c r="E9" s="2" t="inlineStr">
        <is>
          <t xml:space="preserve">Not set</t>
        </is>
      </c>
      <c r="F9" s="2" t="inlineStr">
        <is>
          <t xml:space="preserve">Not tested</t>
        </is>
      </c>
      <c r="G9" s="2" t="inlineStr">
        <is>
          <t xml:space="preserve">Pending</t>
        </is>
      </c>
      <c r="H9" s="2" t="inlineStr">
        <is>
          <t xml:space="preserve"/>
        </is>
      </c>
      <c r="I9" s="2" t="inlineStr">
        <is>
          <t xml:space="preserve"/>
        </is>
      </c>
      <c r="J9" s="2" t="inlineStr">
        <is>
          <t xml:space="preserve"/>
        </is>
      </c>
      <c r="K9" s="2" t="inlineStr">
        <is>
          <t xml:space="preserve"/>
        </is>
      </c>
      <c r="L9" s="2" t="inlineStr">
        <is>
          <t xml:space="preserve"/>
        </is>
      </c>
      <c r="M9" s="2" t="inlineStr">
        <is>
          <t xml:space="preserve"/>
        </is>
      </c>
      <c r="N9" s="2" t="inlineStr">
        <is>
          <t xml:space="preserve"/>
        </is>
      </c>
      <c r="O9" s="2" t="inlineStr">
        <is>
          <t xml:space="preserve"/>
        </is>
      </c>
      <c r="P9" s="2" t="inlineStr">
        <is>
          <t xml:space="preserve">docs/features/DASHBOARD.md; frontend/tests/dashboard-user-transactions.spec.ts</t>
        </is>
      </c>
      <c r="Q9" s="2" t="inlineStr">
        <is>
          <t xml:space="preserve">Not assessed</t>
        </is>
      </c>
      <c r="R9" s="2" t="inlineStr">
        <is>
          <t xml:space="preserve">Unclassified</t>
        </is>
      </c>
      <c r="S9" s="2" t="inlineStr">
        <is>
          <t xml:space="preserve">Not started</t>
        </is>
      </c>
    </row>
    <row r="10">
      <c r="A10" s="2" t="inlineStr">
        <is>
          <t xml:space="preserve">DASH-009</t>
        </is>
      </c>
      <c r="B10" s="2" t="inlineStr">
        <is>
          <t xml:space="preserve">Dashboard</t>
        </is>
      </c>
      <c r="C10" s="2" t="inlineStr">
        <is>
          <t xml:space="preserve">Dashboard › Layout</t>
        </is>
      </c>
      <c r="D10" s="2" t="inlineStr">
        <is>
          <t xml:space="preserve">Three columns on wide screens, two on tablet and one on mobile without stretched cards.</t>
        </is>
      </c>
      <c r="E10" s="2" t="inlineStr">
        <is>
          <t xml:space="preserve">Not set</t>
        </is>
      </c>
      <c r="F10" s="2" t="inlineStr">
        <is>
          <t xml:space="preserve">Not tested</t>
        </is>
      </c>
      <c r="G10" s="2" t="inlineStr">
        <is>
          <t xml:space="preserve">Pending</t>
        </is>
      </c>
      <c r="H10" s="2" t="inlineStr">
        <is>
          <t xml:space="preserve"/>
        </is>
      </c>
      <c r="I10" s="2" t="inlineStr">
        <is>
          <t xml:space="preserve"/>
        </is>
      </c>
      <c r="J10" s="2" t="inlineStr">
        <is>
          <t xml:space="preserve"/>
        </is>
      </c>
      <c r="K10" s="2" t="inlineStr">
        <is>
          <t xml:space="preserve"/>
        </is>
      </c>
      <c r="L10" s="2" t="inlineStr">
        <is>
          <t xml:space="preserve"/>
        </is>
      </c>
      <c r="M10" s="2" t="inlineStr">
        <is>
          <t xml:space="preserve"/>
        </is>
      </c>
      <c r="N10" s="2" t="inlineStr">
        <is>
          <t xml:space="preserve"/>
        </is>
      </c>
      <c r="O10" s="2" t="inlineStr">
        <is>
          <t xml:space="preserve"/>
        </is>
      </c>
      <c r="P10" s="2" t="inlineStr">
        <is>
          <t xml:space="preserve">docs/features/DASHBOARD.md; frontend/tests/refinement-completion.spec.ts</t>
        </is>
      </c>
      <c r="Q10" s="2" t="inlineStr">
        <is>
          <t xml:space="preserve">Not assessed</t>
        </is>
      </c>
      <c r="R10" s="2" t="inlineStr">
        <is>
          <t xml:space="preserve">Unclassified</t>
        </is>
      </c>
      <c r="S10" s="2" t="inlineStr">
        <is>
          <t xml:space="preserve">Not started</t>
        </is>
      </c>
    </row>
    <row r="11">
      <c r="A11" s="2" t="inlineStr">
        <is>
          <t xml:space="preserve">ROLE-001</t>
        </is>
      </c>
      <c r="B11" s="2" t="inlineStr">
        <is>
          <t xml:space="preserve">Role Lookup</t>
        </is>
      </c>
      <c r="C11" s="2" t="inlineStr">
        <is>
          <t xml:space="preserve">Role Lookup › Search</t>
        </is>
      </c>
      <c r="D11" s="2" t="inlineStr">
        <is>
          <t xml:space="preserve">Search by role name and description returns the expected roles and keeps results stable.</t>
        </is>
      </c>
      <c r="E11" s="2" t="inlineStr">
        <is>
          <t xml:space="preserve">Not set</t>
        </is>
      </c>
      <c r="F11" s="2" t="inlineStr">
        <is>
          <t xml:space="preserve">Not tested</t>
        </is>
      </c>
      <c r="G11" s="2" t="inlineStr">
        <is>
          <t xml:space="preserve">Pending</t>
        </is>
      </c>
      <c r="H11" s="2" t="inlineStr">
        <is>
          <t xml:space="preserve"/>
        </is>
      </c>
      <c r="I11" s="2" t="inlineStr">
        <is>
          <t xml:space="preserve"/>
        </is>
      </c>
      <c r="J11" s="2" t="inlineStr">
        <is>
          <t xml:space="preserve"/>
        </is>
      </c>
      <c r="K11" s="2" t="inlineStr">
        <is>
          <t xml:space="preserve"/>
        </is>
      </c>
      <c r="L11" s="2" t="inlineStr">
        <is>
          <t xml:space="preserve"/>
        </is>
      </c>
      <c r="M11" s="2" t="inlineStr">
        <is>
          <t xml:space="preserve"/>
        </is>
      </c>
      <c r="N11" s="2" t="inlineStr">
        <is>
          <t xml:space="preserve"/>
        </is>
      </c>
      <c r="O11" s="2" t="inlineStr">
        <is>
          <t xml:space="preserve"/>
        </is>
      </c>
      <c r="P11" s="2" t="inlineStr">
        <is>
          <t xml:space="preserve">docs/features/ROLE_LOOKUP.md; frontend/tests/live-filters-polish.spec.ts</t>
        </is>
      </c>
      <c r="Q11" s="2" t="inlineStr">
        <is>
          <t xml:space="preserve">Not assessed</t>
        </is>
      </c>
      <c r="R11" s="2" t="inlineStr">
        <is>
          <t xml:space="preserve">Unclassified</t>
        </is>
      </c>
      <c r="S11" s="2" t="inlineStr">
        <is>
          <t xml:space="preserve">Not started</t>
        </is>
      </c>
    </row>
    <row r="12">
      <c r="A12" s="2" t="inlineStr">
        <is>
          <t xml:space="preserve">ROLE-002</t>
        </is>
      </c>
      <c r="B12" s="2" t="inlineStr">
        <is>
          <t xml:space="preserve">Role Lookup</t>
        </is>
      </c>
      <c r="C12" s="2" t="inlineStr">
        <is>
          <t xml:space="preserve">Role Lookup › SAP area filters</t>
        </is>
      </c>
      <c r="D12" s="2" t="inlineStr">
        <is>
          <t xml:space="preserve">Module filters narrow roles by catalogue evidence only and never infer a module.</t>
        </is>
      </c>
      <c r="E12" s="2" t="inlineStr">
        <is>
          <t xml:space="preserve">Not set</t>
        </is>
      </c>
      <c r="F12" s="2" t="inlineStr">
        <is>
          <t xml:space="preserve">Not tested</t>
        </is>
      </c>
      <c r="G12" s="2" t="inlineStr">
        <is>
          <t xml:space="preserve">Pending</t>
        </is>
      </c>
      <c r="H12" s="2" t="inlineStr">
        <is>
          <t xml:space="preserve"/>
        </is>
      </c>
      <c r="I12" s="2" t="inlineStr">
        <is>
          <t xml:space="preserve"/>
        </is>
      </c>
      <c r="J12" s="2" t="inlineStr">
        <is>
          <t xml:space="preserve"/>
        </is>
      </c>
      <c r="K12" s="2" t="inlineStr">
        <is>
          <t xml:space="preserve"/>
        </is>
      </c>
      <c r="L12" s="2" t="inlineStr">
        <is>
          <t xml:space="preserve"/>
        </is>
      </c>
      <c r="M12" s="2" t="inlineStr">
        <is>
          <t xml:space="preserve"/>
        </is>
      </c>
      <c r="N12" s="2" t="inlineStr">
        <is>
          <t xml:space="preserve"/>
        </is>
      </c>
      <c r="O12" s="2" t="inlineStr">
        <is>
          <t xml:space="preserve"/>
        </is>
      </c>
      <c r="P12" s="2" t="inlineStr">
        <is>
          <t xml:space="preserve">docs/features/ROLE_LOOKUP.md; frontend/tests/consolidated-role-ui.spec.ts</t>
        </is>
      </c>
      <c r="Q12" s="2" t="inlineStr">
        <is>
          <t xml:space="preserve">Not assessed</t>
        </is>
      </c>
      <c r="R12" s="2" t="inlineStr">
        <is>
          <t xml:space="preserve">Unclassified</t>
        </is>
      </c>
      <c r="S12" s="2" t="inlineStr">
        <is>
          <t xml:space="preserve">Not started</t>
        </is>
      </c>
    </row>
    <row r="13">
      <c r="A13" s="2" t="inlineStr">
        <is>
          <t xml:space="preserve">ROLE-003</t>
        </is>
      </c>
      <c r="B13" s="2" t="inlineStr">
        <is>
          <t xml:space="preserve">Role Lookup</t>
        </is>
      </c>
      <c r="C13" s="2" t="inlineStr">
        <is>
          <t xml:space="preserve">Role Lookup › Transaction filter</t>
        </is>
      </c>
      <c r="D13" s="2" t="inlineStr">
        <is>
          <t xml:space="preserve">Include and exclude transaction codes match exactly and combine with the other filters.</t>
        </is>
      </c>
      <c r="E13" s="2" t="inlineStr">
        <is>
          <t xml:space="preserve">Not set</t>
        </is>
      </c>
      <c r="F13" s="2" t="inlineStr">
        <is>
          <t xml:space="preserve">Not tested</t>
        </is>
      </c>
      <c r="G13" s="2" t="inlineStr">
        <is>
          <t xml:space="preserve">Pending</t>
        </is>
      </c>
      <c r="H13" s="2" t="inlineStr">
        <is>
          <t xml:space="preserve"/>
        </is>
      </c>
      <c r="I13" s="2" t="inlineStr">
        <is>
          <t xml:space="preserve"/>
        </is>
      </c>
      <c r="J13" s="2" t="inlineStr">
        <is>
          <t xml:space="preserve"/>
        </is>
      </c>
      <c r="K13" s="2" t="inlineStr">
        <is>
          <t xml:space="preserve"/>
        </is>
      </c>
      <c r="L13" s="2" t="inlineStr">
        <is>
          <t xml:space="preserve"/>
        </is>
      </c>
      <c r="M13" s="2" t="inlineStr">
        <is>
          <t xml:space="preserve"/>
        </is>
      </c>
      <c r="N13" s="2" t="inlineStr">
        <is>
          <t xml:space="preserve"/>
        </is>
      </c>
      <c r="O13" s="2" t="inlineStr">
        <is>
          <t xml:space="preserve"/>
        </is>
      </c>
      <c r="P13" s="2" t="inlineStr">
        <is>
          <t xml:space="preserve">docs/features/ROLE_LOOKUP.md; frontend/tests/transaction-filter.spec.ts</t>
        </is>
      </c>
      <c r="Q13" s="2" t="inlineStr">
        <is>
          <t xml:space="preserve">Not assessed</t>
        </is>
      </c>
      <c r="R13" s="2" t="inlineStr">
        <is>
          <t xml:space="preserve">Unclassified</t>
        </is>
      </c>
      <c r="S13" s="2" t="inlineStr">
        <is>
          <t xml:space="preserve">Not started</t>
        </is>
      </c>
    </row>
    <row r="14">
      <c r="A14" s="2" t="inlineStr">
        <is>
          <t xml:space="preserve">ROLE-004</t>
        </is>
      </c>
      <c r="B14" s="2" t="inlineStr">
        <is>
          <t xml:space="preserve">Role Lookup</t>
        </is>
      </c>
      <c r="C14" s="2" t="inlineStr">
        <is>
          <t xml:space="preserve">Role Lookup › Role cards</t>
        </is>
      </c>
      <c r="D14" s="2" t="inlineStr">
        <is>
          <t xml:space="preserve">Cards align in independent columns with module badge, description, transactions count and actions.</t>
        </is>
      </c>
      <c r="E14" s="2" t="inlineStr">
        <is>
          <t xml:space="preserve">Not set</t>
        </is>
      </c>
      <c r="F14" s="2" t="inlineStr">
        <is>
          <t xml:space="preserve">Not tested</t>
        </is>
      </c>
      <c r="G14" s="2" t="inlineStr">
        <is>
          <t xml:space="preserve">Pending</t>
        </is>
      </c>
      <c r="H14" s="2" t="inlineStr">
        <is>
          <t xml:space="preserve"/>
        </is>
      </c>
      <c r="I14" s="2" t="inlineStr">
        <is>
          <t xml:space="preserve"/>
        </is>
      </c>
      <c r="J14" s="2" t="inlineStr">
        <is>
          <t xml:space="preserve"/>
        </is>
      </c>
      <c r="K14" s="2" t="inlineStr">
        <is>
          <t xml:space="preserve"/>
        </is>
      </c>
      <c r="L14" s="2" t="inlineStr">
        <is>
          <t xml:space="preserve"/>
        </is>
      </c>
      <c r="M14" s="2" t="inlineStr">
        <is>
          <t xml:space="preserve"/>
        </is>
      </c>
      <c r="N14" s="2" t="inlineStr">
        <is>
          <t xml:space="preserve"/>
        </is>
      </c>
      <c r="O14" s="2" t="inlineStr">
        <is>
          <t xml:space="preserve"/>
        </is>
      </c>
      <c r="P14" s="2" t="inlineStr">
        <is>
          <t xml:space="preserve">docs/features/ROLE_LOOKUP.md; frontend/tests/role-visuals.spec.ts</t>
        </is>
      </c>
      <c r="Q14" s="2" t="inlineStr">
        <is>
          <t xml:space="preserve">Not assessed</t>
        </is>
      </c>
      <c r="R14" s="2" t="inlineStr">
        <is>
          <t xml:space="preserve">Unclassified</t>
        </is>
      </c>
      <c r="S14" s="2" t="inlineStr">
        <is>
          <t xml:space="preserve">Not started</t>
        </is>
      </c>
    </row>
    <row r="15">
      <c r="A15" s="2" t="inlineStr">
        <is>
          <t xml:space="preserve">ROLE-005</t>
        </is>
      </c>
      <c r="B15" s="2" t="inlineStr">
        <is>
          <t xml:space="preserve">Role Lookup</t>
        </is>
      </c>
      <c r="C15" s="2" t="inlineStr">
        <is>
          <t xml:space="preserve">Role Lookup › Role details</t>
        </is>
      </c>
      <c r="D15" s="2" t="inlineStr">
        <is>
          <t xml:space="preserve">Details show composite and single roles with transaction evidence and keep long names visible.</t>
        </is>
      </c>
      <c r="E15" s="2" t="inlineStr">
        <is>
          <t xml:space="preserve">Not set</t>
        </is>
      </c>
      <c r="F15" s="2" t="inlineStr">
        <is>
          <t xml:space="preserve">Not tested</t>
        </is>
      </c>
      <c r="G15" s="2" t="inlineStr">
        <is>
          <t xml:space="preserve">Pending</t>
        </is>
      </c>
      <c r="H15" s="2" t="inlineStr">
        <is>
          <t xml:space="preserve"/>
        </is>
      </c>
      <c r="I15" s="2" t="inlineStr">
        <is>
          <t xml:space="preserve"/>
        </is>
      </c>
      <c r="J15" s="2" t="inlineStr">
        <is>
          <t xml:space="preserve"/>
        </is>
      </c>
      <c r="K15" s="2" t="inlineStr">
        <is>
          <t xml:space="preserve"/>
        </is>
      </c>
      <c r="L15" s="2" t="inlineStr">
        <is>
          <t xml:space="preserve"/>
        </is>
      </c>
      <c r="M15" s="2" t="inlineStr">
        <is>
          <t xml:space="preserve"/>
        </is>
      </c>
      <c r="N15" s="2" t="inlineStr">
        <is>
          <t xml:space="preserve"/>
        </is>
      </c>
      <c r="O15" s="2" t="inlineStr">
        <is>
          <t xml:space="preserve"/>
        </is>
      </c>
      <c r="P15" s="2" t="inlineStr">
        <is>
          <t xml:space="preserve">docs/features/ROLE_LOOKUP.md; frontend/tests/refinement-r2.spec.ts</t>
        </is>
      </c>
      <c r="Q15" s="2" t="inlineStr">
        <is>
          <t xml:space="preserve">Not assessed</t>
        </is>
      </c>
      <c r="R15" s="2" t="inlineStr">
        <is>
          <t xml:space="preserve">Unclassified</t>
        </is>
      </c>
      <c r="S15" s="2" t="inlineStr">
        <is>
          <t xml:space="preserve">Not started</t>
        </is>
      </c>
    </row>
    <row r="16">
      <c r="A16" s="2" t="inlineStr">
        <is>
          <t xml:space="preserve">ROLE-006</t>
        </is>
      </c>
      <c r="B16" s="2" t="inlineStr">
        <is>
          <t xml:space="preserve">Role Lookup</t>
        </is>
      </c>
      <c r="C16" s="2" t="inlineStr">
        <is>
          <t xml:space="preserve">Role Lookup › Comparison selection</t>
        </is>
      </c>
      <c r="D16" s="2" t="inlineStr">
        <is>
          <t xml:space="preserve">Selecting roles shows a selection bar with Compare now from two roles and Clear selection that never touches the package.</t>
        </is>
      </c>
      <c r="E16" s="2" t="inlineStr">
        <is>
          <t xml:space="preserve">Not set</t>
        </is>
      </c>
      <c r="F16" s="2" t="inlineStr">
        <is>
          <t xml:space="preserve">Not tested</t>
        </is>
      </c>
      <c r="G16" s="2" t="inlineStr">
        <is>
          <t xml:space="preserve">Pending</t>
        </is>
      </c>
      <c r="H16" s="2" t="inlineStr">
        <is>
          <t xml:space="preserve"/>
        </is>
      </c>
      <c r="I16" s="2" t="inlineStr">
        <is>
          <t xml:space="preserve"/>
        </is>
      </c>
      <c r="J16" s="2" t="inlineStr">
        <is>
          <t xml:space="preserve"/>
        </is>
      </c>
      <c r="K16" s="2" t="inlineStr">
        <is>
          <t xml:space="preserve"/>
        </is>
      </c>
      <c r="L16" s="2" t="inlineStr">
        <is>
          <t xml:space="preserve"/>
        </is>
      </c>
      <c r="M16" s="2" t="inlineStr">
        <is>
          <t xml:space="preserve"/>
        </is>
      </c>
      <c r="N16" s="2" t="inlineStr">
        <is>
          <t xml:space="preserve"/>
        </is>
      </c>
      <c r="O16" s="2" t="inlineStr">
        <is>
          <t xml:space="preserve"/>
        </is>
      </c>
      <c r="P16" s="2" t="inlineStr">
        <is>
          <t xml:space="preserve">docs/features/ROLE_LOOKUP.md; frontend/tests/access-package-r2.spec.ts</t>
        </is>
      </c>
      <c r="Q16" s="2" t="inlineStr">
        <is>
          <t xml:space="preserve">Not assessed</t>
        </is>
      </c>
      <c r="R16" s="2" t="inlineStr">
        <is>
          <t xml:space="preserve">Unclassified</t>
        </is>
      </c>
      <c r="S16" s="2" t="inlineStr">
        <is>
          <t xml:space="preserve">Not started</t>
        </is>
      </c>
    </row>
    <row r="17">
      <c r="A17" s="2" t="inlineStr">
        <is>
          <t xml:space="preserve">ROLE-007</t>
        </is>
      </c>
      <c r="B17" s="2" t="inlineStr">
        <is>
          <t xml:space="preserve">Role Lookup</t>
        </is>
      </c>
      <c r="C17" s="2" t="inlineStr">
        <is>
          <t xml:space="preserve">Role Lookup › Wildcard catalogue roles</t>
        </is>
      </c>
      <c r="D17" s="2" t="inlineStr">
        <is>
          <t xml:space="preserve">Wildcard catalogue stems match actual roles without being shown as exact.</t>
        </is>
      </c>
      <c r="E17" s="2" t="inlineStr">
        <is>
          <t xml:space="preserve">Not set</t>
        </is>
      </c>
      <c r="F17" s="2" t="inlineStr">
        <is>
          <t xml:space="preserve">Not tested</t>
        </is>
      </c>
      <c r="G17" s="2" t="inlineStr">
        <is>
          <t xml:space="preserve">Pending</t>
        </is>
      </c>
      <c r="H17" s="2" t="inlineStr">
        <is>
          <t xml:space="preserve"/>
        </is>
      </c>
      <c r="I17" s="2" t="inlineStr">
        <is>
          <t xml:space="preserve"/>
        </is>
      </c>
      <c r="J17" s="2" t="inlineStr">
        <is>
          <t xml:space="preserve"/>
        </is>
      </c>
      <c r="K17" s="2" t="inlineStr">
        <is>
          <t xml:space="preserve"/>
        </is>
      </c>
      <c r="L17" s="2" t="inlineStr">
        <is>
          <t xml:space="preserve"/>
        </is>
      </c>
      <c r="M17" s="2" t="inlineStr">
        <is>
          <t xml:space="preserve"/>
        </is>
      </c>
      <c r="N17" s="2" t="inlineStr">
        <is>
          <t xml:space="preserve"/>
        </is>
      </c>
      <c r="O17" s="2" t="inlineStr">
        <is>
          <t xml:space="preserve"/>
        </is>
      </c>
      <c r="P17" s="2" t="inlineStr">
        <is>
          <t xml:space="preserve">docs/features/ROLE_LOOKUP.md; frontend/tests/access-package.spec.ts</t>
        </is>
      </c>
      <c r="Q17" s="2" t="inlineStr">
        <is>
          <t xml:space="preserve">Not assessed</t>
        </is>
      </c>
      <c r="R17" s="2" t="inlineStr">
        <is>
          <t xml:space="preserve">Unclassified</t>
        </is>
      </c>
      <c r="S17" s="2" t="inlineStr">
        <is>
          <t xml:space="preserve">Not started</t>
        </is>
      </c>
    </row>
    <row r="18">
      <c r="A18" s="2" t="inlineStr">
        <is>
          <t xml:space="preserve">ROLE-008</t>
        </is>
      </c>
      <c r="B18" s="2" t="inlineStr">
        <is>
          <t xml:space="preserve">Role Lookup</t>
        </is>
      </c>
      <c r="C18" s="2" t="inlineStr">
        <is>
          <t xml:space="preserve">Role Lookup › Saved filters</t>
        </is>
      </c>
      <c r="D18" s="2" t="inlineStr">
        <is>
          <t xml:space="preserve">Role Lookup filters save, load, rename and delete.</t>
        </is>
      </c>
      <c r="E18" s="2" t="inlineStr">
        <is>
          <t xml:space="preserve">Not set</t>
        </is>
      </c>
      <c r="F18" s="2" t="inlineStr">
        <is>
          <t xml:space="preserve">Not tested</t>
        </is>
      </c>
      <c r="G18" s="2" t="inlineStr">
        <is>
          <t xml:space="preserve">Pending</t>
        </is>
      </c>
      <c r="H18" s="2" t="inlineStr">
        <is>
          <t xml:space="preserve"/>
        </is>
      </c>
      <c r="I18" s="2" t="inlineStr">
        <is>
          <t xml:space="preserve"/>
        </is>
      </c>
      <c r="J18" s="2" t="inlineStr">
        <is>
          <t xml:space="preserve"/>
        </is>
      </c>
      <c r="K18" s="2" t="inlineStr">
        <is>
          <t xml:space="preserve"/>
        </is>
      </c>
      <c r="L18" s="2" t="inlineStr">
        <is>
          <t xml:space="preserve"/>
        </is>
      </c>
      <c r="M18" s="2" t="inlineStr">
        <is>
          <t xml:space="preserve"/>
        </is>
      </c>
      <c r="N18" s="2" t="inlineStr">
        <is>
          <t xml:space="preserve"/>
        </is>
      </c>
      <c r="O18" s="2" t="inlineStr">
        <is>
          <t xml:space="preserve"/>
        </is>
      </c>
      <c r="P18" s="2" t="inlineStr">
        <is>
          <t xml:space="preserve">docs/features/SAVED_FILTERS.md; frontend/tests/saved-filter-migration.spec.ts</t>
        </is>
      </c>
      <c r="Q18" s="2" t="inlineStr">
        <is>
          <t xml:space="preserve">Not assessed</t>
        </is>
      </c>
      <c r="R18" s="2" t="inlineStr">
        <is>
          <t xml:space="preserve">Unclassified</t>
        </is>
      </c>
      <c r="S18" s="2" t="inlineStr">
        <is>
          <t xml:space="preserve">Not started</t>
        </is>
      </c>
    </row>
    <row r="19">
      <c r="A19" s="2" t="inlineStr">
        <is>
          <t xml:space="preserve">R8-01</t>
        </is>
      </c>
      <c r="B19" s="2" t="inlineStr">
        <is>
          <t xml:space="preserve">Role Lookup</t>
        </is>
      </c>
      <c r="C19" s="2" t="inlineStr">
        <is>
          <t xml:space="preserve">Role Lookup › Card header (module badge)</t>
        </is>
      </c>
      <c r="D19" s="2" t="inlineStr">
        <is>
          <t xml:space="preserve">The module badge aligns with the first line of the role description; long descriptions wrap below it; the top-right actions stay at the top; cards in one row keep one height with bottom-aligned actions; correct in both themes and at 375, 800, 1280 and 1600 px.</t>
        </is>
      </c>
      <c r="E19" s="2" t="inlineStr">
        <is>
          <t xml:space="preserve">Medium</t>
        </is>
      </c>
      <c r="F19" s="2" t="inlineStr">
        <is>
          <t xml:space="preserve">Not tested</t>
        </is>
      </c>
      <c r="G19" s="2" t="inlineStr">
        <is>
          <t xml:space="preserve">Pending</t>
        </is>
      </c>
      <c r="H19" s="2" t="inlineStr">
        <is>
          <t xml:space="preserve">frontend/tests/r8-ui-polish.spec.ts</t>
        </is>
      </c>
      <c r="I19" s="2" t="inlineStr">
        <is>
          <t xml:space="preserve"/>
        </is>
      </c>
      <c r="J19" s="2" t="inlineStr">
        <is>
          <t xml:space="preserve"/>
        </is>
      </c>
      <c r="K19" s="2" t="inlineStr">
        <is>
          <t xml:space="preserve">Root cause: a later override centred the badge against the whole multiline description and let the actions wrap below it. Fixed with first-baseline alignment (R8 phase 1).</t>
        </is>
      </c>
      <c r="L19" s="2" t="inlineStr">
        <is>
          <t xml:space="preserve"/>
        </is>
      </c>
      <c r="M19" s="2" t="inlineStr">
        <is>
          <t xml:space="preserve"/>
        </is>
      </c>
      <c r="N19" s="2" t="inlineStr">
        <is>
          <t xml:space="preserve">Look at long and short descriptions in both themes at 375, 800, 1280 and 1600 px.</t>
        </is>
      </c>
      <c r="O19" s="2" t="inlineStr">
        <is>
          <t xml:space="preserve"/>
        </is>
      </c>
      <c r="P19" s="2" t="inlineStr">
        <is>
          <t xml:space="preserve">frontend/src/styles/components.css; frontend/src/components/Shared/RoleEntry.tsx</t>
        </is>
      </c>
      <c r="Q19" s="2" t="inlineStr">
        <is>
          <t xml:space="preserve">Implemented</t>
        </is>
      </c>
      <c r="R19" s="2" t="inlineStr">
        <is>
          <t xml:space="preserve">Unclassified</t>
        </is>
      </c>
      <c r="S19" s="2" t="inlineStr">
        <is>
          <t xml:space="preserve">Not started</t>
        </is>
      </c>
    </row>
    <row r="20">
      <c r="A20" s="2" t="inlineStr">
        <is>
          <t xml:space="preserve">PKG-001</t>
        </is>
      </c>
      <c r="B20" s="2" t="inlineStr">
        <is>
          <t xml:space="preserve">Access Package</t>
        </is>
      </c>
      <c r="C20" s="2" t="inlineStr">
        <is>
          <t xml:space="preserve">Role Lookup and Release Roles › Add to package</t>
        </is>
      </c>
      <c r="D20" s="2" t="inlineStr">
        <is>
          <t xml:space="preserve">Roles can be added and removed from role cards, details and Release Roles; the package bar counts them.</t>
        </is>
      </c>
      <c r="E20" s="2" t="inlineStr">
        <is>
          <t xml:space="preserve">Not set</t>
        </is>
      </c>
      <c r="F20" s="2" t="inlineStr">
        <is>
          <t xml:space="preserve">Not tested</t>
        </is>
      </c>
      <c r="G20" s="2" t="inlineStr">
        <is>
          <t xml:space="preserve">Pending</t>
        </is>
      </c>
      <c r="H20" s="2" t="inlineStr">
        <is>
          <t xml:space="preserve"/>
        </is>
      </c>
      <c r="I20" s="2" t="inlineStr">
        <is>
          <t xml:space="preserve"/>
        </is>
      </c>
      <c r="J20" s="2" t="inlineStr">
        <is>
          <t xml:space="preserve"/>
        </is>
      </c>
      <c r="K20" s="2" t="inlineStr">
        <is>
          <t xml:space="preserve"/>
        </is>
      </c>
      <c r="L20" s="2" t="inlineStr">
        <is>
          <t xml:space="preserve"/>
        </is>
      </c>
      <c r="M20" s="2" t="inlineStr">
        <is>
          <t xml:space="preserve"/>
        </is>
      </c>
      <c r="N20" s="2" t="inlineStr">
        <is>
          <t xml:space="preserve"/>
        </is>
      </c>
      <c r="O20" s="2" t="inlineStr">
        <is>
          <t xml:space="preserve"/>
        </is>
      </c>
      <c r="P20" s="2" t="inlineStr">
        <is>
          <t xml:space="preserve">docs/features/ROLE_LOOKUP.md; frontend/tests/access-package.spec.ts</t>
        </is>
      </c>
      <c r="Q20" s="2" t="inlineStr">
        <is>
          <t xml:space="preserve">Not assessed</t>
        </is>
      </c>
      <c r="R20" s="2" t="inlineStr">
        <is>
          <t xml:space="preserve">Unclassified</t>
        </is>
      </c>
      <c r="S20" s="2" t="inlineStr">
        <is>
          <t xml:space="preserve">Not started</t>
        </is>
      </c>
    </row>
    <row r="21">
      <c r="A21" s="2" t="inlineStr">
        <is>
          <t xml:space="preserve">PKG-002</t>
        </is>
      </c>
      <c r="B21" s="2" t="inlineStr">
        <is>
          <t xml:space="preserve">Access Package</t>
        </is>
      </c>
      <c r="C21" s="2" t="inlineStr">
        <is>
          <t xml:space="preserve">Access Package panel › Suffix configuration</t>
        </is>
      </c>
      <c r="D21" s="2" t="inlineStr">
        <is>
          <t xml:space="preserve">Package default suffix and role-specific suffixes generate the proposed names; exact roles keep their name.</t>
        </is>
      </c>
      <c r="E21" s="2" t="inlineStr">
        <is>
          <t xml:space="preserve">Not set</t>
        </is>
      </c>
      <c r="F21" s="2" t="inlineStr">
        <is>
          <t xml:space="preserve">Not tested</t>
        </is>
      </c>
      <c r="G21" s="2" t="inlineStr">
        <is>
          <t xml:space="preserve">Pending</t>
        </is>
      </c>
      <c r="H21" s="2" t="inlineStr">
        <is>
          <t xml:space="preserve"/>
        </is>
      </c>
      <c r="I21" s="2" t="inlineStr">
        <is>
          <t xml:space="preserve"/>
        </is>
      </c>
      <c r="J21" s="2" t="inlineStr">
        <is>
          <t xml:space="preserve"/>
        </is>
      </c>
      <c r="K21" s="2" t="inlineStr">
        <is>
          <t xml:space="preserve"/>
        </is>
      </c>
      <c r="L21" s="2" t="inlineStr">
        <is>
          <t xml:space="preserve"/>
        </is>
      </c>
      <c r="M21" s="2" t="inlineStr">
        <is>
          <t xml:space="preserve"/>
        </is>
      </c>
      <c r="N21" s="2" t="inlineStr">
        <is>
          <t xml:space="preserve"/>
        </is>
      </c>
      <c r="O21" s="2" t="inlineStr">
        <is>
          <t xml:space="preserve"/>
        </is>
      </c>
      <c r="P21" s="2" t="inlineStr">
        <is>
          <t xml:space="preserve">docs/features/ROLE_LOOKUP.md; frontend/tests/access-package-r2.spec.ts</t>
        </is>
      </c>
      <c r="Q21" s="2" t="inlineStr">
        <is>
          <t xml:space="preserve">Not assessed</t>
        </is>
      </c>
      <c r="R21" s="2" t="inlineStr">
        <is>
          <t xml:space="preserve">Unclassified</t>
        </is>
      </c>
      <c r="S21" s="2" t="inlineStr">
        <is>
          <t xml:space="preserve">Not started</t>
        </is>
      </c>
    </row>
    <row r="22">
      <c r="A22" s="2" t="inlineStr">
        <is>
          <t xml:space="preserve">PKG-003</t>
        </is>
      </c>
      <c r="B22" s="2" t="inlineStr">
        <is>
          <t xml:space="preserve">Access Package</t>
        </is>
      </c>
      <c r="C22" s="2" t="inlineStr">
        <is>
          <t xml:space="preserve">Access Package panel › Suffix eligibility</t>
        </is>
      </c>
      <c r="D22" s="2" t="inlineStr">
        <is>
          <t xml:space="preserve">Only trailing-wildcard patterns or roles ending in a detected organizational suffix take a suffix.</t>
        </is>
      </c>
      <c r="E22" s="2" t="inlineStr">
        <is>
          <t xml:space="preserve">Not set</t>
        </is>
      </c>
      <c r="F22" s="2" t="inlineStr">
        <is>
          <t xml:space="preserve">Not tested</t>
        </is>
      </c>
      <c r="G22" s="2" t="inlineStr">
        <is>
          <t xml:space="preserve">Pending</t>
        </is>
      </c>
      <c r="H22" s="2" t="inlineStr">
        <is>
          <t xml:space="preserve"/>
        </is>
      </c>
      <c r="I22" s="2" t="inlineStr">
        <is>
          <t xml:space="preserve"/>
        </is>
      </c>
      <c r="J22" s="2" t="inlineStr">
        <is>
          <t xml:space="preserve"/>
        </is>
      </c>
      <c r="K22" s="2" t="inlineStr">
        <is>
          <t xml:space="preserve"/>
        </is>
      </c>
      <c r="L22" s="2" t="inlineStr">
        <is>
          <t xml:space="preserve"/>
        </is>
      </c>
      <c r="M22" s="2" t="inlineStr">
        <is>
          <t xml:space="preserve"/>
        </is>
      </c>
      <c r="N22" s="2" t="inlineStr">
        <is>
          <t xml:space="preserve"/>
        </is>
      </c>
      <c r="O22" s="2" t="inlineStr">
        <is>
          <t xml:space="preserve"/>
        </is>
      </c>
      <c r="P22" s="2" t="inlineStr">
        <is>
          <t xml:space="preserve">docs/features/ROLE_LOOKUP.md; frontend/tests/access-package-r2.spec.ts</t>
        </is>
      </c>
      <c r="Q22" s="2" t="inlineStr">
        <is>
          <t xml:space="preserve">Not assessed</t>
        </is>
      </c>
      <c r="R22" s="2" t="inlineStr">
        <is>
          <t xml:space="preserve">Unclassified</t>
        </is>
      </c>
      <c r="S22" s="2" t="inlineStr">
        <is>
          <t xml:space="preserve">Not started</t>
        </is>
      </c>
    </row>
    <row r="23">
      <c r="A23" s="2" t="inlineStr">
        <is>
          <t xml:space="preserve">PKG-004</t>
        </is>
      </c>
      <c r="B23" s="2" t="inlineStr">
        <is>
          <t xml:space="preserve">Access Package</t>
        </is>
      </c>
      <c r="C23" s="2" t="inlineStr">
        <is>
          <t xml:space="preserve">Access Package panel › Validation statuses</t>
        </is>
      </c>
      <c r="D23" s="2" t="inlineStr">
        <is>
          <t xml:space="preserve">Confirmed needs the exact name in imported roles or assignments; wildcard matches are Pattern match; unsupported valid names are Needs attention; invalid names never export.</t>
        </is>
      </c>
      <c r="E23" s="2" t="inlineStr">
        <is>
          <t xml:space="preserve">Not set</t>
        </is>
      </c>
      <c r="F23" s="2" t="inlineStr">
        <is>
          <t xml:space="preserve">Not tested</t>
        </is>
      </c>
      <c r="G23" s="2" t="inlineStr">
        <is>
          <t xml:space="preserve">Pending</t>
        </is>
      </c>
      <c r="H23" s="2" t="inlineStr">
        <is>
          <t xml:space="preserve"/>
        </is>
      </c>
      <c r="I23" s="2" t="inlineStr">
        <is>
          <t xml:space="preserve"/>
        </is>
      </c>
      <c r="J23" s="2" t="inlineStr">
        <is>
          <t xml:space="preserve"/>
        </is>
      </c>
      <c r="K23" s="2" t="inlineStr">
        <is>
          <t xml:space="preserve"/>
        </is>
      </c>
      <c r="L23" s="2" t="inlineStr">
        <is>
          <t xml:space="preserve"/>
        </is>
      </c>
      <c r="M23" s="2" t="inlineStr">
        <is>
          <t xml:space="preserve"/>
        </is>
      </c>
      <c r="N23" s="2" t="inlineStr">
        <is>
          <t xml:space="preserve"/>
        </is>
      </c>
      <c r="O23" s="2" t="inlineStr">
        <is>
          <t xml:space="preserve"/>
        </is>
      </c>
      <c r="P23" s="2" t="inlineStr">
        <is>
          <t xml:space="preserve">docs/features/ROLE_LOOKUP.md; frontend/tests/access-package.spec.ts, frontend/tests/access-package-r2.spec.ts</t>
        </is>
      </c>
      <c r="Q23" s="2" t="inlineStr">
        <is>
          <t xml:space="preserve">Not assessed</t>
        </is>
      </c>
      <c r="R23" s="2" t="inlineStr">
        <is>
          <t xml:space="preserve">Unclassified</t>
        </is>
      </c>
      <c r="S23" s="2" t="inlineStr">
        <is>
          <t xml:space="preserve">Not started</t>
        </is>
      </c>
    </row>
    <row r="24">
      <c r="A24" s="2" t="inlineStr">
        <is>
          <t xml:space="preserve">PKG-005</t>
        </is>
      </c>
      <c r="B24" s="2" t="inlineStr">
        <is>
          <t xml:space="preserve">Access Package</t>
        </is>
      </c>
      <c r="C24" s="2" t="inlineStr">
        <is>
          <t xml:space="preserve">Access Package panel › Clear selection and Clear package</t>
        </is>
      </c>
      <c r="D24" s="2" t="inlineStr">
        <is>
          <t xml:space="preserve">Clear selection clears only selected roles; Clear package confirms and clears only the package; neither looks enabled without a target.</t>
        </is>
      </c>
      <c r="E24" s="2" t="inlineStr">
        <is>
          <t xml:space="preserve">Not set</t>
        </is>
      </c>
      <c r="F24" s="2" t="inlineStr">
        <is>
          <t xml:space="preserve">Not tested</t>
        </is>
      </c>
      <c r="G24" s="2" t="inlineStr">
        <is>
          <t xml:space="preserve">Pending</t>
        </is>
      </c>
      <c r="H24" s="2" t="inlineStr">
        <is>
          <t xml:space="preserve"/>
        </is>
      </c>
      <c r="I24" s="2" t="inlineStr">
        <is>
          <t xml:space="preserve"/>
        </is>
      </c>
      <c r="J24" s="2" t="inlineStr">
        <is>
          <t xml:space="preserve"/>
        </is>
      </c>
      <c r="K24" s="2" t="inlineStr">
        <is>
          <t xml:space="preserve"/>
        </is>
      </c>
      <c r="L24" s="2" t="inlineStr">
        <is>
          <t xml:space="preserve"/>
        </is>
      </c>
      <c r="M24" s="2" t="inlineStr">
        <is>
          <t xml:space="preserve"/>
        </is>
      </c>
      <c r="N24" s="2" t="inlineStr">
        <is>
          <t xml:space="preserve"/>
        </is>
      </c>
      <c r="O24" s="2" t="inlineStr">
        <is>
          <t xml:space="preserve"/>
        </is>
      </c>
      <c r="P24" s="2" t="inlineStr">
        <is>
          <t xml:space="preserve">docs/features/ROLE_LOOKUP.md; frontend/tests/access-package-r2.spec.ts</t>
        </is>
      </c>
      <c r="Q24" s="2" t="inlineStr">
        <is>
          <t xml:space="preserve">Not assessed</t>
        </is>
      </c>
      <c r="R24" s="2" t="inlineStr">
        <is>
          <t xml:space="preserve">Unclassified</t>
        </is>
      </c>
      <c r="S24" s="2" t="inlineStr">
        <is>
          <t xml:space="preserve">Not started</t>
        </is>
      </c>
    </row>
    <row r="25">
      <c r="A25" s="2" t="inlineStr">
        <is>
          <t xml:space="preserve">PKG-006</t>
        </is>
      </c>
      <c r="B25" s="2" t="inlineStr">
        <is>
          <t xml:space="preserve">Access Package</t>
        </is>
      </c>
      <c r="C25" s="2" t="inlineStr">
        <is>
          <t xml:space="preserve">Access Package panel › Copy and CSV export</t>
        </is>
      </c>
      <c r="D25" s="2" t="inlineStr">
        <is>
          <t xml:space="preserve">Copy all names and Export CSV include the Validation column and respect the package contents.</t>
        </is>
      </c>
      <c r="E25" s="2" t="inlineStr">
        <is>
          <t xml:space="preserve">Not set</t>
        </is>
      </c>
      <c r="F25" s="2" t="inlineStr">
        <is>
          <t xml:space="preserve">Not tested</t>
        </is>
      </c>
      <c r="G25" s="2" t="inlineStr">
        <is>
          <t xml:space="preserve">Pending</t>
        </is>
      </c>
      <c r="H25" s="2" t="inlineStr">
        <is>
          <t xml:space="preserve"/>
        </is>
      </c>
      <c r="I25" s="2" t="inlineStr">
        <is>
          <t xml:space="preserve"/>
        </is>
      </c>
      <c r="J25" s="2" t="inlineStr">
        <is>
          <t xml:space="preserve"/>
        </is>
      </c>
      <c r="K25" s="2" t="inlineStr">
        <is>
          <t xml:space="preserve"/>
        </is>
      </c>
      <c r="L25" s="2" t="inlineStr">
        <is>
          <t xml:space="preserve"/>
        </is>
      </c>
      <c r="M25" s="2" t="inlineStr">
        <is>
          <t xml:space="preserve"/>
        </is>
      </c>
      <c r="N25" s="2" t="inlineStr">
        <is>
          <t xml:space="preserve"/>
        </is>
      </c>
      <c r="O25" s="2" t="inlineStr">
        <is>
          <t xml:space="preserve"/>
        </is>
      </c>
      <c r="P25" s="2" t="inlineStr">
        <is>
          <t xml:space="preserve">docs/features/ROLE_LOOKUP.md; frontend/tests/access-package.spec.ts</t>
        </is>
      </c>
      <c r="Q25" s="2" t="inlineStr">
        <is>
          <t xml:space="preserve">Not assessed</t>
        </is>
      </c>
      <c r="R25" s="2" t="inlineStr">
        <is>
          <t xml:space="preserve">Unclassified</t>
        </is>
      </c>
      <c r="S25" s="2" t="inlineStr">
        <is>
          <t xml:space="preserve">Not started</t>
        </is>
      </c>
    </row>
    <row r="26">
      <c r="A26" s="2" t="inlineStr">
        <is>
          <t xml:space="preserve">PKG-007</t>
        </is>
      </c>
      <c r="B26" s="2" t="inlineStr">
        <is>
          <t xml:space="preserve">Access Package</t>
        </is>
      </c>
      <c r="C26" s="2" t="inlineStr">
        <is>
          <t xml:space="preserve">Access Package panel › Package rows</t>
        </is>
      </c>
      <c r="D26" s="2" t="inlineStr">
        <is>
          <t xml:space="preserve">Rows show badge, description, one codeblock, suffix field and status compactly at 375 px.</t>
        </is>
      </c>
      <c r="E26" s="2" t="inlineStr">
        <is>
          <t xml:space="preserve">Not set</t>
        </is>
      </c>
      <c r="F26" s="2" t="inlineStr">
        <is>
          <t xml:space="preserve">Not tested</t>
        </is>
      </c>
      <c r="G26" s="2" t="inlineStr">
        <is>
          <t xml:space="preserve">Pending</t>
        </is>
      </c>
      <c r="H26" s="2" t="inlineStr">
        <is>
          <t xml:space="preserve"/>
        </is>
      </c>
      <c r="I26" s="2" t="inlineStr">
        <is>
          <t xml:space="preserve"/>
        </is>
      </c>
      <c r="J26" s="2" t="inlineStr">
        <is>
          <t xml:space="preserve"/>
        </is>
      </c>
      <c r="K26" s="2" t="inlineStr">
        <is>
          <t xml:space="preserve"/>
        </is>
      </c>
      <c r="L26" s="2" t="inlineStr">
        <is>
          <t xml:space="preserve"/>
        </is>
      </c>
      <c r="M26" s="2" t="inlineStr">
        <is>
          <t xml:space="preserve"/>
        </is>
      </c>
      <c r="N26" s="2" t="inlineStr">
        <is>
          <t xml:space="preserve"/>
        </is>
      </c>
      <c r="O26" s="2" t="inlineStr">
        <is>
          <t xml:space="preserve"/>
        </is>
      </c>
      <c r="P26" s="2" t="inlineStr">
        <is>
          <t xml:space="preserve">docs/features/ROLE_LOOKUP.md; frontend/tests/access-package-r2.spec.ts</t>
        </is>
      </c>
      <c r="Q26" s="2" t="inlineStr">
        <is>
          <t xml:space="preserve">Not assessed</t>
        </is>
      </c>
      <c r="R26" s="2" t="inlineStr">
        <is>
          <t xml:space="preserve">Unclassified</t>
        </is>
      </c>
      <c r="S26" s="2" t="inlineStr">
        <is>
          <t xml:space="preserve">Not started</t>
        </is>
      </c>
    </row>
    <row r="27">
      <c r="A27" s="2" t="inlineStr">
        <is>
          <t xml:space="preserve">PKG-008</t>
        </is>
      </c>
      <c r="B27" s="2" t="inlineStr">
        <is>
          <t xml:space="preserve">Access Package</t>
        </is>
      </c>
      <c r="C27" s="2" t="inlineStr">
        <is>
          <t xml:space="preserve">Access Package panel › Long role names</t>
        </is>
      </c>
      <c r="D27" s="2" t="inlineStr">
        <is>
          <t xml:space="preserve">Long generated names stay on one complete line (font scales in the narrow panel), never wrap or scroll, and copy exactly.</t>
        </is>
      </c>
      <c r="E27" s="2" t="inlineStr">
        <is>
          <t xml:space="preserve">Not set</t>
        </is>
      </c>
      <c r="F27" s="2" t="inlineStr">
        <is>
          <t xml:space="preserve">Not tested</t>
        </is>
      </c>
      <c r="G27" s="2" t="inlineStr">
        <is>
          <t xml:space="preserve">Pending</t>
        </is>
      </c>
      <c r="H27" s="2" t="inlineStr">
        <is>
          <t xml:space="preserve"/>
        </is>
      </c>
      <c r="I27" s="2" t="inlineStr">
        <is>
          <t xml:space="preserve"/>
        </is>
      </c>
      <c r="J27" s="2" t="inlineStr">
        <is>
          <t xml:space="preserve"/>
        </is>
      </c>
      <c r="K27" s="2" t="inlineStr">
        <is>
          <t xml:space="preserve"/>
        </is>
      </c>
      <c r="L27" s="2" t="inlineStr">
        <is>
          <t xml:space="preserve"/>
        </is>
      </c>
      <c r="M27" s="2" t="inlineStr">
        <is>
          <t xml:space="preserve"/>
        </is>
      </c>
      <c r="N27" s="2" t="inlineStr">
        <is>
          <t xml:space="preserve"/>
        </is>
      </c>
      <c r="O27" s="2" t="inlineStr">
        <is>
          <t xml:space="preserve"/>
        </is>
      </c>
      <c r="P27" s="2" t="inlineStr">
        <is>
          <t xml:space="preserve">docs/features/ROLE_LOOKUP.md; frontend/tests/access-package-r2.spec.ts</t>
        </is>
      </c>
      <c r="Q27" s="2" t="inlineStr">
        <is>
          <t xml:space="preserve">Not assessed</t>
        </is>
      </c>
      <c r="R27" s="2" t="inlineStr">
        <is>
          <t xml:space="preserve">Unclassified</t>
        </is>
      </c>
      <c r="S27" s="2" t="inlineStr">
        <is>
          <t xml:space="preserve">Not started</t>
        </is>
      </c>
    </row>
    <row r="28">
      <c r="A28" s="2" t="inlineStr">
        <is>
          <t xml:space="preserve">PKG-009</t>
        </is>
      </c>
      <c r="B28" s="2" t="inlineStr">
        <is>
          <t xml:space="preserve">Access Package</t>
        </is>
      </c>
      <c r="C28" s="2" t="inlineStr">
        <is>
          <t xml:space="preserve">Role Lookup and Release Roles › Floating bars on narrow screens</t>
        </is>
      </c>
      <c r="D28" s="2" t="inlineStr">
        <is>
          <t xml:space="preserve">The package and selection bars together leave most of a 375 px viewport usable.</t>
        </is>
      </c>
      <c r="E28" s="2" t="inlineStr">
        <is>
          <t xml:space="preserve">Low</t>
        </is>
      </c>
      <c r="F28" s="2" t="inlineStr">
        <is>
          <t xml:space="preserve">Needs improvement</t>
        </is>
      </c>
      <c r="G28" s="2" t="inlineStr">
        <is>
          <t xml:space="preserve">Pending</t>
        </is>
      </c>
      <c r="H28" s="2" t="inlineStr">
        <is>
          <t xml:space="preserve"/>
        </is>
      </c>
      <c r="I28" s="2" t="inlineStr">
        <is>
          <t xml:space="preserve"/>
        </is>
      </c>
      <c r="J28" s="2" t="inlineStr">
        <is>
          <t xml:space="preserve"/>
        </is>
      </c>
      <c r="K28" s="2" t="inlineStr">
        <is>
          <t xml:space="preserve">Round 4 visual QA at 375 px: the package bar wraps its two buttons onto separate lines and, with the selection bar, stacks to roughly a quarter of the viewport height.</t>
        </is>
      </c>
      <c r="L28" s="2" t="inlineStr">
        <is>
          <t xml:space="preserve"/>
        </is>
      </c>
      <c r="M28" s="2" t="inlineStr">
        <is>
          <t xml:space="preserve"/>
        </is>
      </c>
      <c r="N28" s="2" t="inlineStr">
        <is>
          <t xml:space="preserve"/>
        </is>
      </c>
      <c r="O28" s="2" t="inlineStr">
        <is>
          <t xml:space="preserve"/>
        </is>
      </c>
      <c r="P28" s="2" t="inlineStr">
        <is>
          <t xml:space="preserve">frontend/src/components/Shared/AccessPackageBar.tsx; docs/features/ROLE_LOOKUP.md</t>
        </is>
      </c>
      <c r="Q28" s="2" t="inlineStr">
        <is>
          <t xml:space="preserve">Not assessed</t>
        </is>
      </c>
      <c r="R28" s="2" t="inlineStr">
        <is>
          <t xml:space="preserve">Improvement opportunity</t>
        </is>
      </c>
      <c r="S28" s="2" t="inlineStr">
        <is>
          <t xml:space="preserve">Not started</t>
        </is>
      </c>
    </row>
    <row r="29">
      <c r="A29" s="2" t="inlineStr">
        <is>
          <t xml:space="preserve">UA-001</t>
        </is>
      </c>
      <c r="B29" s="2" t="inlineStr">
        <is>
          <t xml:space="preserve">User Directory</t>
        </is>
      </c>
      <c r="C29" s="2" t="inlineStr">
        <is>
          <t xml:space="preserve">User directory › User list and search</t>
        </is>
      </c>
      <c r="D29" s="2" t="inlineStr">
        <is>
          <t xml:space="preserve">SAP users list with group, roles and filters; search matches username and name.</t>
        </is>
      </c>
      <c r="E29" s="2" t="inlineStr">
        <is>
          <t xml:space="preserve">Not set</t>
        </is>
      </c>
      <c r="F29" s="2" t="inlineStr">
        <is>
          <t xml:space="preserve">Not tested</t>
        </is>
      </c>
      <c r="G29" s="2" t="inlineStr">
        <is>
          <t xml:space="preserve">Pending</t>
        </is>
      </c>
      <c r="H29" s="2" t="inlineStr">
        <is>
          <t xml:space="preserve"/>
        </is>
      </c>
      <c r="I29" s="2" t="inlineStr">
        <is>
          <t xml:space="preserve"/>
        </is>
      </c>
      <c r="J29" s="2" t="inlineStr">
        <is>
          <t xml:space="preserve"/>
        </is>
      </c>
      <c r="K29" s="2" t="inlineStr">
        <is>
          <t xml:space="preserve"/>
        </is>
      </c>
      <c r="L29" s="2" t="inlineStr">
        <is>
          <t xml:space="preserve"/>
        </is>
      </c>
      <c r="M29" s="2" t="inlineStr">
        <is>
          <t xml:space="preserve"/>
        </is>
      </c>
      <c r="N29" s="2" t="inlineStr">
        <is>
          <t xml:space="preserve"/>
        </is>
      </c>
      <c r="O29" s="2" t="inlineStr">
        <is>
          <t xml:space="preserve"/>
        </is>
      </c>
      <c r="P29" s="2" t="inlineStr">
        <is>
          <t xml:space="preserve">docs/features/USER_ACCESS.md; frontend/tests/investigation-ux.spec.ts</t>
        </is>
      </c>
      <c r="Q29" s="2" t="inlineStr">
        <is>
          <t xml:space="preserve">Not assessed</t>
        </is>
      </c>
      <c r="R29" s="2" t="inlineStr">
        <is>
          <t xml:space="preserve">Unclassified</t>
        </is>
      </c>
      <c r="S29" s="2" t="inlineStr">
        <is>
          <t xml:space="preserve">Not started</t>
        </is>
      </c>
    </row>
    <row r="30">
      <c r="A30" s="2" t="inlineStr">
        <is>
          <t xml:space="preserve">UA-002</t>
        </is>
      </c>
      <c r="B30" s="2" t="inlineStr">
        <is>
          <t xml:space="preserve">User Directory</t>
        </is>
      </c>
      <c r="C30" s="2" t="inlineStr">
        <is>
          <t xml:space="preserve">User detail › Assignments</t>
        </is>
      </c>
      <c r="D30" s="2" t="inlineStr">
        <is>
          <t xml:space="preserve">Assignments show role, validity, catalogue evidence and match status with source evidence.</t>
        </is>
      </c>
      <c r="E30" s="2" t="inlineStr">
        <is>
          <t xml:space="preserve">Not set</t>
        </is>
      </c>
      <c r="F30" s="2" t="inlineStr">
        <is>
          <t xml:space="preserve">Not tested</t>
        </is>
      </c>
      <c r="G30" s="2" t="inlineStr">
        <is>
          <t xml:space="preserve">Pending</t>
        </is>
      </c>
      <c r="H30" s="2" t="inlineStr">
        <is>
          <t xml:space="preserve"/>
        </is>
      </c>
      <c r="I30" s="2" t="inlineStr">
        <is>
          <t xml:space="preserve"/>
        </is>
      </c>
      <c r="J30" s="2" t="inlineStr">
        <is>
          <t xml:space="preserve"/>
        </is>
      </c>
      <c r="K30" s="2" t="inlineStr">
        <is>
          <t xml:space="preserve"/>
        </is>
      </c>
      <c r="L30" s="2" t="inlineStr">
        <is>
          <t xml:space="preserve"/>
        </is>
      </c>
      <c r="M30" s="2" t="inlineStr">
        <is>
          <t xml:space="preserve"/>
        </is>
      </c>
      <c r="N30" s="2" t="inlineStr">
        <is>
          <t xml:space="preserve"/>
        </is>
      </c>
      <c r="O30" s="2" t="inlineStr">
        <is>
          <t xml:space="preserve"/>
        </is>
      </c>
      <c r="P30" s="2" t="inlineStr">
        <is>
          <t xml:space="preserve">docs/features/USER_ACCESS.md; frontend/tests/access-investigation.spec.ts</t>
        </is>
      </c>
      <c r="Q30" s="2" t="inlineStr">
        <is>
          <t xml:space="preserve">Not assessed</t>
        </is>
      </c>
      <c r="R30" s="2" t="inlineStr">
        <is>
          <t xml:space="preserve">Unclassified</t>
        </is>
      </c>
      <c r="S30" s="2" t="inlineStr">
        <is>
          <t xml:space="preserve">Not started</t>
        </is>
      </c>
    </row>
    <row r="31">
      <c r="A31" s="2" t="inlineStr">
        <is>
          <t xml:space="preserve">UA-003</t>
        </is>
      </c>
      <c r="B31" s="2" t="inlineStr">
        <is>
          <t xml:space="preserve">User Directory</t>
        </is>
      </c>
      <c r="C31" s="2" t="inlineStr">
        <is>
          <t xml:space="preserve">User directory › Missing roles filter</t>
        </is>
      </c>
      <c r="D31" s="2" t="inlineStr">
        <is>
          <t xml:space="preserve">ANY and ALL semantics for missing roles behave as documented.</t>
        </is>
      </c>
      <c r="E31" s="2" t="inlineStr">
        <is>
          <t xml:space="preserve">Not set</t>
        </is>
      </c>
      <c r="F31" s="2" t="inlineStr">
        <is>
          <t xml:space="preserve">Not tested</t>
        </is>
      </c>
      <c r="G31" s="2" t="inlineStr">
        <is>
          <t xml:space="preserve">Pending</t>
        </is>
      </c>
      <c r="H31" s="2" t="inlineStr">
        <is>
          <t xml:space="preserve"/>
        </is>
      </c>
      <c r="I31" s="2" t="inlineStr">
        <is>
          <t xml:space="preserve"/>
        </is>
      </c>
      <c r="J31" s="2" t="inlineStr">
        <is>
          <t xml:space="preserve"/>
        </is>
      </c>
      <c r="K31" s="2" t="inlineStr">
        <is>
          <t xml:space="preserve"/>
        </is>
      </c>
      <c r="L31" s="2" t="inlineStr">
        <is>
          <t xml:space="preserve"/>
        </is>
      </c>
      <c r="M31" s="2" t="inlineStr">
        <is>
          <t xml:space="preserve"/>
        </is>
      </c>
      <c r="N31" s="2" t="inlineStr">
        <is>
          <t xml:space="preserve"/>
        </is>
      </c>
      <c r="O31" s="2" t="inlineStr">
        <is>
          <t xml:space="preserve"/>
        </is>
      </c>
      <c r="P31" s="2" t="inlineStr">
        <is>
          <t xml:space="preserve">docs/features/USER_ACCESS.md; frontend/tests/investigation-tools.spec.ts</t>
        </is>
      </c>
      <c r="Q31" s="2" t="inlineStr">
        <is>
          <t xml:space="preserve">Not assessed</t>
        </is>
      </c>
      <c r="R31" s="2" t="inlineStr">
        <is>
          <t xml:space="preserve">Unclassified</t>
        </is>
      </c>
      <c r="S31" s="2" t="inlineStr">
        <is>
          <t xml:space="preserve">Not started</t>
        </is>
      </c>
    </row>
    <row r="32">
      <c r="A32" s="2" t="inlineStr">
        <is>
          <t xml:space="preserve">UA-004</t>
        </is>
      </c>
      <c r="B32" s="2" t="inlineStr">
        <is>
          <t xml:space="preserve">User Directory</t>
        </is>
      </c>
      <c r="C32" s="2" t="inlineStr">
        <is>
          <t xml:space="preserve">User directory › Reverse transaction filter</t>
        </is>
      </c>
      <c r="D32" s="2" t="inlineStr">
        <is>
          <t xml:space="preserve">Users who have or lack transactions are found by exact transaction evidence.</t>
        </is>
      </c>
      <c r="E32" s="2" t="inlineStr">
        <is>
          <t xml:space="preserve">Not set</t>
        </is>
      </c>
      <c r="F32" s="2" t="inlineStr">
        <is>
          <t xml:space="preserve">Not tested</t>
        </is>
      </c>
      <c r="G32" s="2" t="inlineStr">
        <is>
          <t xml:space="preserve">Pending</t>
        </is>
      </c>
      <c r="H32" s="2" t="inlineStr">
        <is>
          <t xml:space="preserve"/>
        </is>
      </c>
      <c r="I32" s="2" t="inlineStr">
        <is>
          <t xml:space="preserve"/>
        </is>
      </c>
      <c r="J32" s="2" t="inlineStr">
        <is>
          <t xml:space="preserve"/>
        </is>
      </c>
      <c r="K32" s="2" t="inlineStr">
        <is>
          <t xml:space="preserve"/>
        </is>
      </c>
      <c r="L32" s="2" t="inlineStr">
        <is>
          <t xml:space="preserve"/>
        </is>
      </c>
      <c r="M32" s="2" t="inlineStr">
        <is>
          <t xml:space="preserve"/>
        </is>
      </c>
      <c r="N32" s="2" t="inlineStr">
        <is>
          <t xml:space="preserve"/>
        </is>
      </c>
      <c r="O32" s="2" t="inlineStr">
        <is>
          <t xml:space="preserve"/>
        </is>
      </c>
      <c r="P32" s="2" t="inlineStr">
        <is>
          <t xml:space="preserve">docs/features/USER_ACCESS.md; frontend/tests/transaction-filter.spec.ts</t>
        </is>
      </c>
      <c r="Q32" s="2" t="inlineStr">
        <is>
          <t xml:space="preserve">Not assessed</t>
        </is>
      </c>
      <c r="R32" s="2" t="inlineStr">
        <is>
          <t xml:space="preserve">Unclassified</t>
        </is>
      </c>
      <c r="S32" s="2" t="inlineStr">
        <is>
          <t xml:space="preserve">Not started</t>
        </is>
      </c>
    </row>
    <row r="33">
      <c r="A33" s="2" t="inlineStr">
        <is>
          <t xml:space="preserve">UA-005</t>
        </is>
      </c>
      <c r="B33" s="2" t="inlineStr">
        <is>
          <t xml:space="preserve">User Directory</t>
        </is>
      </c>
      <c r="C33" s="2" t="inlineStr">
        <is>
          <t xml:space="preserve">User directory › Assignment ranges</t>
        </is>
      </c>
      <c r="D33" s="2" t="inlineStr">
        <is>
          <t xml:space="preserve">Assignment range filter matches the Dashboard distribution.</t>
        </is>
      </c>
      <c r="E33" s="2" t="inlineStr">
        <is>
          <t xml:space="preserve">Not set</t>
        </is>
      </c>
      <c r="F33" s="2" t="inlineStr">
        <is>
          <t xml:space="preserve">Not tested</t>
        </is>
      </c>
      <c r="G33" s="2" t="inlineStr">
        <is>
          <t xml:space="preserve">Pending</t>
        </is>
      </c>
      <c r="H33" s="2" t="inlineStr">
        <is>
          <t xml:space="preserve"/>
        </is>
      </c>
      <c r="I33" s="2" t="inlineStr">
        <is>
          <t xml:space="preserve"/>
        </is>
      </c>
      <c r="J33" s="2" t="inlineStr">
        <is>
          <t xml:space="preserve"/>
        </is>
      </c>
      <c r="K33" s="2" t="inlineStr">
        <is>
          <t xml:space="preserve"/>
        </is>
      </c>
      <c r="L33" s="2" t="inlineStr">
        <is>
          <t xml:space="preserve"/>
        </is>
      </c>
      <c r="M33" s="2" t="inlineStr">
        <is>
          <t xml:space="preserve"/>
        </is>
      </c>
      <c r="N33" s="2" t="inlineStr">
        <is>
          <t xml:space="preserve"/>
        </is>
      </c>
      <c r="O33" s="2" t="inlineStr">
        <is>
          <t xml:space="preserve"/>
        </is>
      </c>
      <c r="P33" s="2" t="inlineStr">
        <is>
          <t xml:space="preserve">docs/features/USER_ACCESS.md; frontend/tests/refinement-round2.spec.ts</t>
        </is>
      </c>
      <c r="Q33" s="2" t="inlineStr">
        <is>
          <t xml:space="preserve">Not assessed</t>
        </is>
      </c>
      <c r="R33" s="2" t="inlineStr">
        <is>
          <t xml:space="preserve">Unclassified</t>
        </is>
      </c>
      <c r="S33" s="2" t="inlineStr">
        <is>
          <t xml:space="preserve">Not started</t>
        </is>
      </c>
    </row>
    <row r="34">
      <c r="A34" s="2" t="inlineStr">
        <is>
          <t xml:space="preserve">UA-006</t>
        </is>
      </c>
      <c r="B34" s="2" t="inlineStr">
        <is>
          <t xml:space="preserve">User Directory</t>
        </is>
      </c>
      <c r="C34" s="2" t="inlineStr">
        <is>
          <t xml:space="preserve">User detail › Expired and future assignments</t>
        </is>
      </c>
      <c r="D34" s="2" t="inlineStr">
        <is>
          <t xml:space="preserve">Expired, future and unknown validity are separated from active assignments.</t>
        </is>
      </c>
      <c r="E34" s="2" t="inlineStr">
        <is>
          <t xml:space="preserve">Not set</t>
        </is>
      </c>
      <c r="F34" s="2" t="inlineStr">
        <is>
          <t xml:space="preserve">Not tested</t>
        </is>
      </c>
      <c r="G34" s="2" t="inlineStr">
        <is>
          <t xml:space="preserve">Pending</t>
        </is>
      </c>
      <c r="H34" s="2" t="inlineStr">
        <is>
          <t xml:space="preserve"/>
        </is>
      </c>
      <c r="I34" s="2" t="inlineStr">
        <is>
          <t xml:space="preserve"/>
        </is>
      </c>
      <c r="J34" s="2" t="inlineStr">
        <is>
          <t xml:space="preserve"/>
        </is>
      </c>
      <c r="K34" s="2" t="inlineStr">
        <is>
          <t xml:space="preserve"/>
        </is>
      </c>
      <c r="L34" s="2" t="inlineStr">
        <is>
          <t xml:space="preserve"/>
        </is>
      </c>
      <c r="M34" s="2" t="inlineStr">
        <is>
          <t xml:space="preserve"/>
        </is>
      </c>
      <c r="N34" s="2" t="inlineStr">
        <is>
          <t xml:space="preserve"/>
        </is>
      </c>
      <c r="O34" s="2" t="inlineStr">
        <is>
          <t xml:space="preserve"/>
        </is>
      </c>
      <c r="P34" s="2" t="inlineStr">
        <is>
          <t xml:space="preserve">docs/features/USER_ACCESS.md; frontend/tests/access-investigation.spec.ts</t>
        </is>
      </c>
      <c r="Q34" s="2" t="inlineStr">
        <is>
          <t xml:space="preserve">Not assessed</t>
        </is>
      </c>
      <c r="R34" s="2" t="inlineStr">
        <is>
          <t xml:space="preserve">Unclassified</t>
        </is>
      </c>
      <c r="S34" s="2" t="inlineStr">
        <is>
          <t xml:space="preserve">Not started</t>
        </is>
      </c>
    </row>
    <row r="35">
      <c r="A35" s="2" t="inlineStr">
        <is>
          <t xml:space="preserve">UA-007</t>
        </is>
      </c>
      <c r="B35" s="2" t="inlineStr">
        <is>
          <t xml:space="preserve">User Directory</t>
        </is>
      </c>
      <c r="C35" s="2" t="inlineStr">
        <is>
          <t xml:space="preserve">User directory › Export</t>
        </is>
      </c>
      <c r="D35" s="2" t="inlineStr">
        <is>
          <t xml:space="preserve">CSV export respects the active filters and includes the expected evidence columns.</t>
        </is>
      </c>
      <c r="E35" s="2" t="inlineStr">
        <is>
          <t xml:space="preserve">Not set</t>
        </is>
      </c>
      <c r="F35" s="2" t="inlineStr">
        <is>
          <t xml:space="preserve">Not tested</t>
        </is>
      </c>
      <c r="G35" s="2" t="inlineStr">
        <is>
          <t xml:space="preserve">Pending</t>
        </is>
      </c>
      <c r="H35" s="2" t="inlineStr">
        <is>
          <t xml:space="preserve"/>
        </is>
      </c>
      <c r="I35" s="2" t="inlineStr">
        <is>
          <t xml:space="preserve"/>
        </is>
      </c>
      <c r="J35" s="2" t="inlineStr">
        <is>
          <t xml:space="preserve"/>
        </is>
      </c>
      <c r="K35" s="2" t="inlineStr">
        <is>
          <t xml:space="preserve"/>
        </is>
      </c>
      <c r="L35" s="2" t="inlineStr">
        <is>
          <t xml:space="preserve"/>
        </is>
      </c>
      <c r="M35" s="2" t="inlineStr">
        <is>
          <t xml:space="preserve"/>
        </is>
      </c>
      <c r="N35" s="2" t="inlineStr">
        <is>
          <t xml:space="preserve"/>
        </is>
      </c>
      <c r="O35" s="2" t="inlineStr">
        <is>
          <t xml:space="preserve"/>
        </is>
      </c>
      <c r="P35" s="2" t="inlineStr">
        <is>
          <t xml:space="preserve">docs/features/USER_ACCESS.md; frontend/tests/user-role-export.spec.ts</t>
        </is>
      </c>
      <c r="Q35" s="2" t="inlineStr">
        <is>
          <t xml:space="preserve">Not assessed</t>
        </is>
      </c>
      <c r="R35" s="2" t="inlineStr">
        <is>
          <t xml:space="preserve">Unclassified</t>
        </is>
      </c>
      <c r="S35" s="2" t="inlineStr">
        <is>
          <t xml:space="preserve">Not started</t>
        </is>
      </c>
    </row>
    <row r="36">
      <c r="A36" s="2" t="inlineStr">
        <is>
          <t xml:space="preserve">UA-008</t>
        </is>
      </c>
      <c r="B36" s="2" t="inlineStr">
        <is>
          <t xml:space="preserve">User Directory</t>
        </is>
      </c>
      <c r="C36" s="2" t="inlineStr">
        <is>
          <t xml:space="preserve">User detail › Return to previous user</t>
        </is>
      </c>
      <c r="D36" s="2" t="inlineStr">
        <is>
          <t xml:space="preserve">The manager card offers Return to previous user only after navigating from another user.</t>
        </is>
      </c>
      <c r="E36" s="2" t="inlineStr">
        <is>
          <t xml:space="preserve">Not set</t>
        </is>
      </c>
      <c r="F36" s="2" t="inlineStr">
        <is>
          <t xml:space="preserve">Not tested</t>
        </is>
      </c>
      <c r="G36" s="2" t="inlineStr">
        <is>
          <t xml:space="preserve">Pending</t>
        </is>
      </c>
      <c r="H36" s="2" t="inlineStr">
        <is>
          <t xml:space="preserve"/>
        </is>
      </c>
      <c r="I36" s="2" t="inlineStr">
        <is>
          <t xml:space="preserve"/>
        </is>
      </c>
      <c r="J36" s="2" t="inlineStr">
        <is>
          <t xml:space="preserve"/>
        </is>
      </c>
      <c r="K36" s="2" t="inlineStr">
        <is>
          <t xml:space="preserve"/>
        </is>
      </c>
      <c r="L36" s="2" t="inlineStr">
        <is>
          <t xml:space="preserve"/>
        </is>
      </c>
      <c r="M36" s="2" t="inlineStr">
        <is>
          <t xml:space="preserve"/>
        </is>
      </c>
      <c r="N36" s="2" t="inlineStr">
        <is>
          <t xml:space="preserve"/>
        </is>
      </c>
      <c r="O36" s="2" t="inlineStr">
        <is>
          <t xml:space="preserve"/>
        </is>
      </c>
      <c r="P36" s="2" t="inlineStr">
        <is>
          <t xml:space="preserve">docs/architecture/NAVIGATION.md; frontend/tests/employee-directory.spec.ts</t>
        </is>
      </c>
      <c r="Q36" s="2" t="inlineStr">
        <is>
          <t xml:space="preserve">Not assessed</t>
        </is>
      </c>
      <c r="R36" s="2" t="inlineStr">
        <is>
          <t xml:space="preserve">Unclassified</t>
        </is>
      </c>
      <c r="S36" s="2" t="inlineStr">
        <is>
          <t xml:space="preserve">Not started</t>
        </is>
      </c>
    </row>
    <row r="37">
      <c r="A37" s="2" t="inlineStr">
        <is>
          <t xml:space="preserve">UA-009</t>
        </is>
      </c>
      <c r="B37" s="2" t="inlineStr">
        <is>
          <t xml:space="preserve">User Directory</t>
        </is>
      </c>
      <c r="C37" s="2" t="inlineStr">
        <is>
          <t xml:space="preserve">User detail › Employee enrichment</t>
        </is>
      </c>
      <c r="D37" s="2" t="inlineStr">
        <is>
          <t xml:space="preserve">Manager relationships and directory fields appear only when the Employee Directory is enabled and matched.</t>
        </is>
      </c>
      <c r="E37" s="2" t="inlineStr">
        <is>
          <t xml:space="preserve">Not set</t>
        </is>
      </c>
      <c r="F37" s="2" t="inlineStr">
        <is>
          <t xml:space="preserve">Not tested</t>
        </is>
      </c>
      <c r="G37" s="2" t="inlineStr">
        <is>
          <t xml:space="preserve">Pending</t>
        </is>
      </c>
      <c r="H37" s="2" t="inlineStr">
        <is>
          <t xml:space="preserve"/>
        </is>
      </c>
      <c r="I37" s="2" t="inlineStr">
        <is>
          <t xml:space="preserve"/>
        </is>
      </c>
      <c r="J37" s="2" t="inlineStr">
        <is>
          <t xml:space="preserve"/>
        </is>
      </c>
      <c r="K37" s="2" t="inlineStr">
        <is>
          <t xml:space="preserve"/>
        </is>
      </c>
      <c r="L37" s="2" t="inlineStr">
        <is>
          <t xml:space="preserve"/>
        </is>
      </c>
      <c r="M37" s="2" t="inlineStr">
        <is>
          <t xml:space="preserve"/>
        </is>
      </c>
      <c r="N37" s="2" t="inlineStr">
        <is>
          <t xml:space="preserve"/>
        </is>
      </c>
      <c r="O37" s="2" t="inlineStr">
        <is>
          <t xml:space="preserve"/>
        </is>
      </c>
      <c r="P37" s="2" t="inlineStr">
        <is>
          <t xml:space="preserve">docs/data/EMPLOYEE_DIRECTORY.md; frontend/tests/employee-directory.spec.ts</t>
        </is>
      </c>
      <c r="Q37" s="2" t="inlineStr">
        <is>
          <t xml:space="preserve">Not assessed</t>
        </is>
      </c>
      <c r="R37" s="2" t="inlineStr">
        <is>
          <t xml:space="preserve">Unclassified</t>
        </is>
      </c>
      <c r="S37" s="2" t="inlineStr">
        <is>
          <t xml:space="preserve">Not started</t>
        </is>
      </c>
    </row>
    <row r="38">
      <c r="A38" s="2" t="inlineStr">
        <is>
          <t xml:space="preserve">AR-001</t>
        </is>
      </c>
      <c r="B38" s="2" t="inlineStr">
        <is>
          <t xml:space="preserve">Account Review</t>
        </is>
      </c>
      <c r="C38" s="2" t="inlineStr">
        <is>
          <t xml:space="preserve">Account Review › Progress section</t>
        </is>
      </c>
      <c r="D38" s="2" t="inlineStr">
        <is>
          <t xml:space="preserve">One compact panel (about one third of the width) shows the completion percentage, N of M SAP users reviewed, a visible progress bar and clickable completed and pending counts; outdated reviews count as pending.</t>
        </is>
      </c>
      <c r="E38" s="2" t="inlineStr">
        <is>
          <t xml:space="preserve">Not set</t>
        </is>
      </c>
      <c r="F38" s="2" t="inlineStr">
        <is>
          <t xml:space="preserve">Not tested</t>
        </is>
      </c>
      <c r="G38" s="2" t="inlineStr">
        <is>
          <t xml:space="preserve">Pending</t>
        </is>
      </c>
      <c r="H38" s="2" t="inlineStr">
        <is>
          <t xml:space="preserve"/>
        </is>
      </c>
      <c r="I38" s="2" t="inlineStr">
        <is>
          <t xml:space="preserve"/>
        </is>
      </c>
      <c r="J38" s="2" t="inlineStr">
        <is>
          <t xml:space="preserve"/>
        </is>
      </c>
      <c r="K38" s="2" t="inlineStr">
        <is>
          <t xml:space="preserve"/>
        </is>
      </c>
      <c r="L38" s="2" t="inlineStr">
        <is>
          <t xml:space="preserve"/>
        </is>
      </c>
      <c r="M38" s="2" t="inlineStr">
        <is>
          <t xml:space="preserve"/>
        </is>
      </c>
      <c r="N38" s="2" t="inlineStr">
        <is>
          <t xml:space="preserve"/>
        </is>
      </c>
      <c r="O38" s="2" t="inlineStr">
        <is>
          <t xml:space="preserve"/>
        </is>
      </c>
      <c r="P38" s="2" t="inlineStr">
        <is>
          <t xml:space="preserve">docs/features/ACCOUNT_REVIEW.md; frontend/tests/account-review-refinement.spec.ts</t>
        </is>
      </c>
      <c r="Q38" s="2" t="inlineStr">
        <is>
          <t xml:space="preserve">Not assessed</t>
        </is>
      </c>
      <c r="R38" s="2" t="inlineStr">
        <is>
          <t xml:space="preserve">Unclassified</t>
        </is>
      </c>
      <c r="S38" s="2" t="inlineStr">
        <is>
          <t xml:space="preserve">Not started</t>
        </is>
      </c>
    </row>
    <row r="39">
      <c r="A39" s="2" t="inlineStr">
        <is>
          <t xml:space="preserve">AR-002</t>
        </is>
      </c>
      <c r="B39" s="2" t="inlineStr">
        <is>
          <t xml:space="preserve">Account Review</t>
        </is>
      </c>
      <c r="C39" s="2" t="inlineStr">
        <is>
          <t xml:space="preserve">Account Review › Action KPIs</t>
        </is>
      </c>
      <c r="D39" s="2" t="inlineStr">
        <is>
          <t xml:space="preserve">The Review attention panel (about two thirds of the width, two columns, icons, right-aligned values) lists accounts requiring review, missing or ambiguous directory matches, position changes and outdated reviews plus a compact AD disabled / SAP valid and unlocked row; each applies its filter and they combine.</t>
        </is>
      </c>
      <c r="E39" s="2" t="inlineStr">
        <is>
          <t xml:space="preserve">Not set</t>
        </is>
      </c>
      <c r="F39" s="2" t="inlineStr">
        <is>
          <t xml:space="preserve">Not tested</t>
        </is>
      </c>
      <c r="G39" s="2" t="inlineStr">
        <is>
          <t xml:space="preserve">Pending</t>
        </is>
      </c>
      <c r="H39" s="2" t="inlineStr">
        <is>
          <t xml:space="preserve"/>
        </is>
      </c>
      <c r="I39" s="2" t="inlineStr">
        <is>
          <t xml:space="preserve"/>
        </is>
      </c>
      <c r="J39" s="2" t="inlineStr">
        <is>
          <t xml:space="preserve"/>
        </is>
      </c>
      <c r="K39" s="2" t="inlineStr">
        <is>
          <t xml:space="preserve"/>
        </is>
      </c>
      <c r="L39" s="2" t="inlineStr">
        <is>
          <t xml:space="preserve"/>
        </is>
      </c>
      <c r="M39" s="2" t="inlineStr">
        <is>
          <t xml:space="preserve"/>
        </is>
      </c>
      <c r="N39" s="2" t="inlineStr">
        <is>
          <t xml:space="preserve"/>
        </is>
      </c>
      <c r="O39" s="2" t="inlineStr">
        <is>
          <t xml:space="preserve"/>
        </is>
      </c>
      <c r="P39" s="2" t="inlineStr">
        <is>
          <t xml:space="preserve">docs/features/ACCOUNT_REVIEW.md; frontend/tests/account-review-refinement.spec.ts, frontend/tests/investigation-tools.spec.ts</t>
        </is>
      </c>
      <c r="Q39" s="2" t="inlineStr">
        <is>
          <t xml:space="preserve">Not assessed</t>
        </is>
      </c>
      <c r="R39" s="2" t="inlineStr">
        <is>
          <t xml:space="preserve">Unclassified</t>
        </is>
      </c>
      <c r="S39" s="2" t="inlineStr">
        <is>
          <t xml:space="preserve">Not started</t>
        </is>
      </c>
    </row>
    <row r="40">
      <c r="A40" s="2" t="inlineStr">
        <is>
          <t xml:space="preserve">AR-003</t>
        </is>
      </c>
      <c r="B40" s="2" t="inlineStr">
        <is>
          <t xml:space="preserve">Account Review</t>
        </is>
      </c>
      <c r="C40" s="2" t="inlineStr">
        <is>
          <t xml:space="preserve">Account Review › Filters</t>
        </is>
      </c>
      <c r="D40" s="2" t="inlineStr">
        <is>
          <t xml:space="preserve">Finding, license classification and decision filters are multi-select (OR within, AND between) with Saved Filters.</t>
        </is>
      </c>
      <c r="E40" s="2" t="inlineStr">
        <is>
          <t xml:space="preserve">Not set</t>
        </is>
      </c>
      <c r="F40" s="2" t="inlineStr">
        <is>
          <t xml:space="preserve">Not tested</t>
        </is>
      </c>
      <c r="G40" s="2" t="inlineStr">
        <is>
          <t xml:space="preserve">Pending</t>
        </is>
      </c>
      <c r="H40" s="2" t="inlineStr">
        <is>
          <t xml:space="preserve"/>
        </is>
      </c>
      <c r="I40" s="2" t="inlineStr">
        <is>
          <t xml:space="preserve"/>
        </is>
      </c>
      <c r="J40" s="2" t="inlineStr">
        <is>
          <t xml:space="preserve"/>
        </is>
      </c>
      <c r="K40" s="2" t="inlineStr">
        <is>
          <t xml:space="preserve"/>
        </is>
      </c>
      <c r="L40" s="2" t="inlineStr">
        <is>
          <t xml:space="preserve"/>
        </is>
      </c>
      <c r="M40" s="2" t="inlineStr">
        <is>
          <t xml:space="preserve"/>
        </is>
      </c>
      <c r="N40" s="2" t="inlineStr">
        <is>
          <t xml:space="preserve"/>
        </is>
      </c>
      <c r="O40" s="2" t="inlineStr">
        <is>
          <t xml:space="preserve"/>
        </is>
      </c>
      <c r="P40" s="2" t="inlineStr">
        <is>
          <t xml:space="preserve">docs/features/ACCOUNT_REVIEW.md; frontend/tests/investigation-filter-refinement.spec.ts</t>
        </is>
      </c>
      <c r="Q40" s="2" t="inlineStr">
        <is>
          <t xml:space="preserve">Not assessed</t>
        </is>
      </c>
      <c r="R40" s="2" t="inlineStr">
        <is>
          <t xml:space="preserve">Unclassified</t>
        </is>
      </c>
      <c r="S40" s="2" t="inlineStr">
        <is>
          <t xml:space="preserve">Not started</t>
        </is>
      </c>
    </row>
    <row r="41">
      <c r="A41" s="2" t="inlineStr">
        <is>
          <t xml:space="preserve">AR-004</t>
        </is>
      </c>
      <c r="B41" s="2" t="inlineStr">
        <is>
          <t xml:space="preserve">Account Review</t>
        </is>
      </c>
      <c r="C41" s="2" t="inlineStr">
        <is>
          <t xml:space="preserve">Account Review › Review dialog</t>
        </is>
      </c>
      <c r="D41" s="2" t="inlineStr">
        <is>
          <t xml:space="preserve">The dialog is limited to SAP identity, position changes, the decision and its history; decisions stay local annotations.</t>
        </is>
      </c>
      <c r="E41" s="2" t="inlineStr">
        <is>
          <t xml:space="preserve">Not set</t>
        </is>
      </c>
      <c r="F41" s="2" t="inlineStr">
        <is>
          <t xml:space="preserve">Not tested</t>
        </is>
      </c>
      <c r="G41" s="2" t="inlineStr">
        <is>
          <t xml:space="preserve">Pending</t>
        </is>
      </c>
      <c r="H41" s="2" t="inlineStr">
        <is>
          <t xml:space="preserve"/>
        </is>
      </c>
      <c r="I41" s="2" t="inlineStr">
        <is>
          <t xml:space="preserve"/>
        </is>
      </c>
      <c r="J41" s="2" t="inlineStr">
        <is>
          <t xml:space="preserve"/>
        </is>
      </c>
      <c r="K41" s="2" t="inlineStr">
        <is>
          <t xml:space="preserve"/>
        </is>
      </c>
      <c r="L41" s="2" t="inlineStr">
        <is>
          <t xml:space="preserve"/>
        </is>
      </c>
      <c r="M41" s="2" t="inlineStr">
        <is>
          <t xml:space="preserve"/>
        </is>
      </c>
      <c r="N41" s="2" t="inlineStr">
        <is>
          <t xml:space="preserve"/>
        </is>
      </c>
      <c r="O41" s="2" t="inlineStr">
        <is>
          <t xml:space="preserve"/>
        </is>
      </c>
      <c r="P41" s="2" t="inlineStr">
        <is>
          <t xml:space="preserve">docs/features/ACCOUNT_REVIEW.md; frontend/tests/account-review-refinement.spec.ts</t>
        </is>
      </c>
      <c r="Q41" s="2" t="inlineStr">
        <is>
          <t xml:space="preserve">Not assessed</t>
        </is>
      </c>
      <c r="R41" s="2" t="inlineStr">
        <is>
          <t xml:space="preserve">Unclassified</t>
        </is>
      </c>
      <c r="S41" s="2" t="inlineStr">
        <is>
          <t xml:space="preserve">Not started</t>
        </is>
      </c>
    </row>
    <row r="42">
      <c r="A42" s="2" t="inlineStr">
        <is>
          <t xml:space="preserve">AR-005</t>
        </is>
      </c>
      <c r="B42" s="2" t="inlineStr">
        <is>
          <t xml:space="preserve">Account Review</t>
        </is>
      </c>
      <c r="C42" s="2" t="inlineStr">
        <is>
          <t xml:space="preserve">Account Review › Position changes</t>
        </is>
      </c>
      <c r="D42" s="2" t="inlineStr">
        <is>
          <t xml:space="preserve">Department and job title changes appear side by side with directory snapshot evidence; manager-only changes never count.</t>
        </is>
      </c>
      <c r="E42" s="2" t="inlineStr">
        <is>
          <t xml:space="preserve">Not set</t>
        </is>
      </c>
      <c r="F42" s="2" t="inlineStr">
        <is>
          <t xml:space="preserve">Not tested</t>
        </is>
      </c>
      <c r="G42" s="2" t="inlineStr">
        <is>
          <t xml:space="preserve">Pending</t>
        </is>
      </c>
      <c r="H42" s="2" t="inlineStr">
        <is>
          <t xml:space="preserve"/>
        </is>
      </c>
      <c r="I42" s="2" t="inlineStr">
        <is>
          <t xml:space="preserve"/>
        </is>
      </c>
      <c r="J42" s="2" t="inlineStr">
        <is>
          <t xml:space="preserve"/>
        </is>
      </c>
      <c r="K42" s="2" t="inlineStr">
        <is>
          <t xml:space="preserve"/>
        </is>
      </c>
      <c r="L42" s="2" t="inlineStr">
        <is>
          <t xml:space="preserve"/>
        </is>
      </c>
      <c r="M42" s="2" t="inlineStr">
        <is>
          <t xml:space="preserve"/>
        </is>
      </c>
      <c r="N42" s="2" t="inlineStr">
        <is>
          <t xml:space="preserve"/>
        </is>
      </c>
      <c r="O42" s="2" t="inlineStr">
        <is>
          <t xml:space="preserve"/>
        </is>
      </c>
      <c r="P42" s="2" t="inlineStr">
        <is>
          <t xml:space="preserve">docs/features/ACCOUNT_REVIEW.md; frontend/tests/position-changes.spec.ts</t>
        </is>
      </c>
      <c r="Q42" s="2" t="inlineStr">
        <is>
          <t xml:space="preserve">Not assessed</t>
        </is>
      </c>
      <c r="R42" s="2" t="inlineStr">
        <is>
          <t xml:space="preserve">Unclassified</t>
        </is>
      </c>
      <c r="S42" s="2" t="inlineStr">
        <is>
          <t xml:space="preserve">Not started</t>
        </is>
      </c>
    </row>
    <row r="43">
      <c r="A43" s="2" t="inlineStr">
        <is>
          <t xml:space="preserve">AR-006</t>
        </is>
      </c>
      <c r="B43" s="2" t="inlineStr">
        <is>
          <t xml:space="preserve">Account Review</t>
        </is>
      </c>
      <c r="C43" s="2" t="inlineStr">
        <is>
          <t xml:space="preserve">Account Review › CSV export</t>
        </is>
      </c>
      <c r="D43" s="2" t="inlineStr">
        <is>
          <t xml:space="preserve">Export includes evidence versions and the active filter scope.</t>
        </is>
      </c>
      <c r="E43" s="2" t="inlineStr">
        <is>
          <t xml:space="preserve">Not set</t>
        </is>
      </c>
      <c r="F43" s="2" t="inlineStr">
        <is>
          <t xml:space="preserve">Not tested</t>
        </is>
      </c>
      <c r="G43" s="2" t="inlineStr">
        <is>
          <t xml:space="preserve">Pending</t>
        </is>
      </c>
      <c r="H43" s="2" t="inlineStr">
        <is>
          <t xml:space="preserve"/>
        </is>
      </c>
      <c r="I43" s="2" t="inlineStr">
        <is>
          <t xml:space="preserve"/>
        </is>
      </c>
      <c r="J43" s="2" t="inlineStr">
        <is>
          <t xml:space="preserve"/>
        </is>
      </c>
      <c r="K43" s="2" t="inlineStr">
        <is>
          <t xml:space="preserve"/>
        </is>
      </c>
      <c r="L43" s="2" t="inlineStr">
        <is>
          <t xml:space="preserve"/>
        </is>
      </c>
      <c r="M43" s="2" t="inlineStr">
        <is>
          <t xml:space="preserve"/>
        </is>
      </c>
      <c r="N43" s="2" t="inlineStr">
        <is>
          <t xml:space="preserve"/>
        </is>
      </c>
      <c r="O43" s="2" t="inlineStr">
        <is>
          <t xml:space="preserve"/>
        </is>
      </c>
      <c r="P43" s="2" t="inlineStr">
        <is>
          <t xml:space="preserve">docs/features/ACCOUNT_REVIEW.md; frontend/tests/investigation-tools.spec.ts</t>
        </is>
      </c>
      <c r="Q43" s="2" t="inlineStr">
        <is>
          <t xml:space="preserve">Not assessed</t>
        </is>
      </c>
      <c r="R43" s="2" t="inlineStr">
        <is>
          <t xml:space="preserve">Unclassified</t>
        </is>
      </c>
      <c r="S43" s="2" t="inlineStr">
        <is>
          <t xml:space="preserve">Not started</t>
        </is>
      </c>
    </row>
    <row r="44">
      <c r="A44" s="2" t="inlineStr">
        <is>
          <t xml:space="preserve">AR-007</t>
        </is>
      </c>
      <c r="B44" s="2" t="inlineStr">
        <is>
          <t xml:space="preserve">Account Review</t>
        </is>
      </c>
      <c r="C44" s="2" t="inlineStr">
        <is>
          <t xml:space="preserve">Account Review › Directory unavailable</t>
        </is>
      </c>
      <c r="D44" s="2" t="inlineStr">
        <is>
          <t xml:space="preserve">Without an Employee Directory the page says so, keeps SAP-only review available and does not invent matches.</t>
        </is>
      </c>
      <c r="E44" s="2" t="inlineStr">
        <is>
          <t xml:space="preserve">Not set</t>
        </is>
      </c>
      <c r="F44" s="2" t="inlineStr">
        <is>
          <t xml:space="preserve">Not tested</t>
        </is>
      </c>
      <c r="G44" s="2" t="inlineStr">
        <is>
          <t xml:space="preserve">Pending</t>
        </is>
      </c>
      <c r="H44" s="2" t="inlineStr">
        <is>
          <t xml:space="preserve"/>
        </is>
      </c>
      <c r="I44" s="2" t="inlineStr">
        <is>
          <t xml:space="preserve"/>
        </is>
      </c>
      <c r="J44" s="2" t="inlineStr">
        <is>
          <t xml:space="preserve"/>
        </is>
      </c>
      <c r="K44" s="2" t="inlineStr">
        <is>
          <t xml:space="preserve"/>
        </is>
      </c>
      <c r="L44" s="2" t="inlineStr">
        <is>
          <t xml:space="preserve"/>
        </is>
      </c>
      <c r="M44" s="2" t="inlineStr">
        <is>
          <t xml:space="preserve"/>
        </is>
      </c>
      <c r="N44" s="2" t="inlineStr">
        <is>
          <t xml:space="preserve"/>
        </is>
      </c>
      <c r="O44" s="2" t="inlineStr">
        <is>
          <t xml:space="preserve"/>
        </is>
      </c>
      <c r="P44" s="2" t="inlineStr">
        <is>
          <t xml:space="preserve">docs/features/ACCOUNT_REVIEW.md; frontend/tests/account-review-refinement.spec.ts</t>
        </is>
      </c>
      <c r="Q44" s="2" t="inlineStr">
        <is>
          <t xml:space="preserve">Not assessed</t>
        </is>
      </c>
      <c r="R44" s="2" t="inlineStr">
        <is>
          <t xml:space="preserve">Unclassified</t>
        </is>
      </c>
      <c r="S44" s="2" t="inlineStr">
        <is>
          <t xml:space="preserve">Not started</t>
        </is>
      </c>
    </row>
    <row r="45">
      <c r="A45" s="2" t="inlineStr">
        <is>
          <t xml:space="preserve">AR-008</t>
        </is>
      </c>
      <c r="B45" s="2" t="inlineStr">
        <is>
          <t xml:space="preserve">Account Review</t>
        </is>
      </c>
      <c r="C45" s="2" t="inlineStr">
        <is>
          <t xml:space="preserve">Account Review › Progress and attention layout (R6 correction)</t>
        </is>
      </c>
      <c r="D45" s="2" t="inlineStr">
        <is>
          <t xml:space="preserve">Review progress (about 1/3) and Review attention (about 2/3) share one aligned row without a separate row of five oversized KPI cards; the table starts within the first screen; the investigation notice is an accessible information button; panels stack on narrow screens.</t>
        </is>
      </c>
      <c r="E45" s="2" t="inlineStr">
        <is>
          <t xml:space="preserve">Not set</t>
        </is>
      </c>
      <c r="F45" s="2" t="inlineStr">
        <is>
          <t xml:space="preserve">Not tested</t>
        </is>
      </c>
      <c r="G45" s="2" t="inlineStr">
        <is>
          <t xml:space="preserve">Pending</t>
        </is>
      </c>
      <c r="H45" s="2" t="inlineStr">
        <is>
          <t xml:space="preserve">frontend/tests/account-review-refinement.spec.ts (1/3-2/3 ratio, alignment, icons, right-aligned values, stacking at 375 px, filter combination, keyboard, both themes)</t>
        </is>
      </c>
      <c r="I45" s="2" t="inlineStr">
        <is>
          <t xml:space="preserve"/>
        </is>
      </c>
      <c r="J45" s="2" t="inlineStr">
        <is>
          <t xml:space="preserve"/>
        </is>
      </c>
      <c r="K45" s="2" t="inlineStr">
        <is>
          <t xml:space="preserve">Visually checked in light and dark at 1280 and 375 px (screenshots from frontend/tests/account-review-refinement.spec.ts runs, SHOTS option).</t>
        </is>
      </c>
      <c r="L45" s="2" t="inlineStr">
        <is>
          <t xml:space="preserve"/>
        </is>
      </c>
      <c r="M45" s="2" t="inlineStr">
        <is>
          <t xml:space="preserve"/>
        </is>
      </c>
      <c r="N45" s="2" t="inlineStr">
        <is>
          <t xml:space="preserve">Confirm the layout, density and the information button in both themes.</t>
        </is>
      </c>
      <c r="O45" s="2" t="inlineStr">
        <is>
          <t xml:space="preserve"/>
        </is>
      </c>
      <c r="P45" s="2" t="inlineStr">
        <is>
          <t xml:space="preserve">frontend/src/components/Access/AccountReview.tsx; frontend/src/styles/components.css; docs/features/ACCOUNT_REVIEW.md</t>
        </is>
      </c>
      <c r="Q45" s="2" t="inlineStr">
        <is>
          <t xml:space="preserve">Implemented</t>
        </is>
      </c>
      <c r="R45" s="2" t="inlineStr">
        <is>
          <t xml:space="preserve">Unclassified</t>
        </is>
      </c>
      <c r="S45" s="2" t="inlineStr">
        <is>
          <t xml:space="preserve">Not started</t>
        </is>
      </c>
    </row>
    <row r="46">
      <c r="A46" s="2" t="inlineStr">
        <is>
          <t xml:space="preserve">R7-02</t>
        </is>
      </c>
      <c r="B46" s="2" t="inlineStr">
        <is>
          <t xml:space="preserve">Account Review</t>
        </is>
      </c>
      <c r="C46" s="2" t="inlineStr">
        <is>
          <t xml:space="preserve">Account Review, Review attention › All attention KPI tiles occupy one grid cell</t>
        </is>
      </c>
      <c r="D46" s="2" t="inlineStr">
        <is>
          <t xml:space="preserve">All five Review attention tiles have identical size, padding, radius and states; the fifth sits in the left column and the right cell stays empty; warning colors, neutral zero values and click-to-filter are unchanged.</t>
        </is>
      </c>
      <c r="E46" s="2" t="inlineStr">
        <is>
          <t xml:space="preserve">Not set</t>
        </is>
      </c>
      <c r="F46" s="2" t="inlineStr">
        <is>
          <t xml:space="preserve">Not tested</t>
        </is>
      </c>
      <c r="G46" s="2" t="inlineStr">
        <is>
          <t xml:space="preserve">Pending</t>
        </is>
      </c>
      <c r="H46" s="2" t="inlineStr">
        <is>
          <t xml:space="preserve">frontend/tests/account-review-refinement.spec.ts (equal width and height, no column span, left column, light and dark)</t>
        </is>
      </c>
      <c r="I46" s="2" t="inlineStr">
        <is>
          <t xml:space="preserve"/>
        </is>
      </c>
      <c r="J46" s="2" t="inlineStr">
        <is>
          <t xml:space="preserve"/>
        </is>
      </c>
      <c r="K46" s="2" t="inlineStr">
        <is>
          <t xml:space="preserve">Root cause: a grid-column span on the last tile (review-kpi-secondary). Removed.</t>
        </is>
      </c>
      <c r="L46" s="2" t="inlineStr">
        <is>
          <t xml:space="preserve"/>
        </is>
      </c>
      <c r="M46" s="2" t="inlineStr">
        <is>
          <t xml:space="preserve"/>
        </is>
      </c>
      <c r="N46" s="2" t="inlineStr">
        <is>
          <t xml:space="preserve">Check the panel at desktop and narrow widths in both themes.</t>
        </is>
      </c>
      <c r="O46" s="2" t="inlineStr">
        <is>
          <t xml:space="preserve"/>
        </is>
      </c>
      <c r="P46" s="2" t="inlineStr">
        <is>
          <t xml:space="preserve">frontend/src/components/Access/AccountReview.tsx; frontend/src/styles/components.css</t>
        </is>
      </c>
      <c r="Q46" s="2" t="inlineStr">
        <is>
          <t xml:space="preserve">Implemented</t>
        </is>
      </c>
      <c r="R46" s="2" t="inlineStr">
        <is>
          <t xml:space="preserve">Unclassified</t>
        </is>
      </c>
      <c r="S46" s="2" t="inlineStr">
        <is>
          <t xml:space="preserve">Not started</t>
        </is>
      </c>
    </row>
    <row r="47">
      <c r="A47" s="2" t="inlineStr">
        <is>
          <t xml:space="preserve">CMP-001</t>
        </is>
      </c>
      <c r="B47" s="2" t="inlineStr">
        <is>
          <t xml:space="preserve">Compare Users</t>
        </is>
      </c>
      <c r="C47" s="2" t="inlineStr">
        <is>
          <t xml:space="preserve">Compare users › User selection</t>
        </is>
      </c>
      <c r="D47" s="2" t="inlineStr">
        <is>
          <t xml:space="preserve">Two users can be compared; the same user cannot be on both sides.</t>
        </is>
      </c>
      <c r="E47" s="2" t="inlineStr">
        <is>
          <t xml:space="preserve">Not set</t>
        </is>
      </c>
      <c r="F47" s="2" t="inlineStr">
        <is>
          <t xml:space="preserve">Not tested</t>
        </is>
      </c>
      <c r="G47" s="2" t="inlineStr">
        <is>
          <t xml:space="preserve">Pending</t>
        </is>
      </c>
      <c r="H47" s="2" t="inlineStr">
        <is>
          <t xml:space="preserve"/>
        </is>
      </c>
      <c r="I47" s="2" t="inlineStr">
        <is>
          <t xml:space="preserve"/>
        </is>
      </c>
      <c r="J47" s="2" t="inlineStr">
        <is>
          <t xml:space="preserve"/>
        </is>
      </c>
      <c r="K47" s="2" t="inlineStr">
        <is>
          <t xml:space="preserve"/>
        </is>
      </c>
      <c r="L47" s="2" t="inlineStr">
        <is>
          <t xml:space="preserve"/>
        </is>
      </c>
      <c r="M47" s="2" t="inlineStr">
        <is>
          <t xml:space="preserve"/>
        </is>
      </c>
      <c r="N47" s="2" t="inlineStr">
        <is>
          <t xml:space="preserve"/>
        </is>
      </c>
      <c r="O47" s="2" t="inlineStr">
        <is>
          <t xml:space="preserve"/>
        </is>
      </c>
      <c r="P47" s="2" t="inlineStr">
        <is>
          <t xml:space="preserve">docs/features/COMPARE_USERS.md; frontend/tests/investigation-tools.spec.ts</t>
        </is>
      </c>
      <c r="Q47" s="2" t="inlineStr">
        <is>
          <t xml:space="preserve">Not assessed</t>
        </is>
      </c>
      <c r="R47" s="2" t="inlineStr">
        <is>
          <t xml:space="preserve">Unclassified</t>
        </is>
      </c>
      <c r="S47" s="2" t="inlineStr">
        <is>
          <t xml:space="preserve">Not started</t>
        </is>
      </c>
    </row>
    <row r="48">
      <c r="A48" s="2" t="inlineStr">
        <is>
          <t xml:space="preserve">CMP-002</t>
        </is>
      </c>
      <c r="B48" s="2" t="inlineStr">
        <is>
          <t xml:space="preserve">Compare Users</t>
        </is>
      </c>
      <c r="C48" s="2" t="inlineStr">
        <is>
          <t xml:space="preserve">Compare users › Filters</t>
        </is>
      </c>
      <c r="D48" s="2" t="inlineStr">
        <is>
          <t xml:space="preserve">Search, validity, kind, difference and SAP area (multi-select) filter the comparison.</t>
        </is>
      </c>
      <c r="E48" s="2" t="inlineStr">
        <is>
          <t xml:space="preserve">Not set</t>
        </is>
      </c>
      <c r="F48" s="2" t="inlineStr">
        <is>
          <t xml:space="preserve">Not tested</t>
        </is>
      </c>
      <c r="G48" s="2" t="inlineStr">
        <is>
          <t xml:space="preserve">Pending</t>
        </is>
      </c>
      <c r="H48" s="2" t="inlineStr">
        <is>
          <t xml:space="preserve"/>
        </is>
      </c>
      <c r="I48" s="2" t="inlineStr">
        <is>
          <t xml:space="preserve"/>
        </is>
      </c>
      <c r="J48" s="2" t="inlineStr">
        <is>
          <t xml:space="preserve"/>
        </is>
      </c>
      <c r="K48" s="2" t="inlineStr">
        <is>
          <t xml:space="preserve"/>
        </is>
      </c>
      <c r="L48" s="2" t="inlineStr">
        <is>
          <t xml:space="preserve"/>
        </is>
      </c>
      <c r="M48" s="2" t="inlineStr">
        <is>
          <t xml:space="preserve"/>
        </is>
      </c>
      <c r="N48" s="2" t="inlineStr">
        <is>
          <t xml:space="preserve"/>
        </is>
      </c>
      <c r="O48" s="2" t="inlineStr">
        <is>
          <t xml:space="preserve"/>
        </is>
      </c>
      <c r="P48" s="2" t="inlineStr">
        <is>
          <t xml:space="preserve">docs/features/COMPARE_USERS.md; frontend/tests/investigation-filter-refinement.spec.ts</t>
        </is>
      </c>
      <c r="Q48" s="2" t="inlineStr">
        <is>
          <t xml:space="preserve">Not assessed</t>
        </is>
      </c>
      <c r="R48" s="2" t="inlineStr">
        <is>
          <t xml:space="preserve">Unclassified</t>
        </is>
      </c>
      <c r="S48" s="2" t="inlineStr">
        <is>
          <t xml:space="preserve">Not started</t>
        </is>
      </c>
    </row>
    <row r="49">
      <c r="A49" s="2" t="inlineStr">
        <is>
          <t xml:space="preserve">CMP-003</t>
        </is>
      </c>
      <c r="B49" s="2" t="inlineStr">
        <is>
          <t xml:space="preserve">Compare Users</t>
        </is>
      </c>
      <c r="C49" s="2" t="inlineStr">
        <is>
          <t xml:space="preserve">Compare users › Evidence table</t>
        </is>
      </c>
      <c r="D49" s="2" t="inlineStr">
        <is>
          <t xml:space="preserve">Shared, only-left and only-right assignments are labelled with validity evidence and unbroken role names.</t>
        </is>
      </c>
      <c r="E49" s="2" t="inlineStr">
        <is>
          <t xml:space="preserve">Not set</t>
        </is>
      </c>
      <c r="F49" s="2" t="inlineStr">
        <is>
          <t xml:space="preserve">Not tested</t>
        </is>
      </c>
      <c r="G49" s="2" t="inlineStr">
        <is>
          <t xml:space="preserve">Pending</t>
        </is>
      </c>
      <c r="H49" s="2" t="inlineStr">
        <is>
          <t xml:space="preserve"/>
        </is>
      </c>
      <c r="I49" s="2" t="inlineStr">
        <is>
          <t xml:space="preserve"/>
        </is>
      </c>
      <c r="J49" s="2" t="inlineStr">
        <is>
          <t xml:space="preserve"/>
        </is>
      </c>
      <c r="K49" s="2" t="inlineStr">
        <is>
          <t xml:space="preserve"/>
        </is>
      </c>
      <c r="L49" s="2" t="inlineStr">
        <is>
          <t xml:space="preserve"/>
        </is>
      </c>
      <c r="M49" s="2" t="inlineStr">
        <is>
          <t xml:space="preserve"/>
        </is>
      </c>
      <c r="N49" s="2" t="inlineStr">
        <is>
          <t xml:space="preserve"/>
        </is>
      </c>
      <c r="O49" s="2" t="inlineStr">
        <is>
          <t xml:space="preserve"/>
        </is>
      </c>
      <c r="P49" s="2" t="inlineStr">
        <is>
          <t xml:space="preserve">docs/features/COMPARE_USERS.md; frontend/tests/refinement-completion.spec.ts</t>
        </is>
      </c>
      <c r="Q49" s="2" t="inlineStr">
        <is>
          <t xml:space="preserve">Not assessed</t>
        </is>
      </c>
      <c r="R49" s="2" t="inlineStr">
        <is>
          <t xml:space="preserve">Unclassified</t>
        </is>
      </c>
      <c r="S49" s="2" t="inlineStr">
        <is>
          <t xml:space="preserve">Not started</t>
        </is>
      </c>
    </row>
    <row r="50">
      <c r="A50" s="2" t="inlineStr">
        <is>
          <t xml:space="preserve">CMP-004</t>
        </is>
      </c>
      <c r="B50" s="2" t="inlineStr">
        <is>
          <t xml:space="preserve">Compare Users</t>
        </is>
      </c>
      <c r="C50" s="2" t="inlineStr">
        <is>
          <t xml:space="preserve">Compare users › Saved filters</t>
        </is>
      </c>
      <c r="D50" s="2" t="inlineStr">
        <is>
          <t xml:space="preserve">Comparison filters save and load.</t>
        </is>
      </c>
      <c r="E50" s="2" t="inlineStr">
        <is>
          <t xml:space="preserve">Not set</t>
        </is>
      </c>
      <c r="F50" s="2" t="inlineStr">
        <is>
          <t xml:space="preserve">Not tested</t>
        </is>
      </c>
      <c r="G50" s="2" t="inlineStr">
        <is>
          <t xml:space="preserve">Pending</t>
        </is>
      </c>
      <c r="H50" s="2" t="inlineStr">
        <is>
          <t xml:space="preserve"/>
        </is>
      </c>
      <c r="I50" s="2" t="inlineStr">
        <is>
          <t xml:space="preserve"/>
        </is>
      </c>
      <c r="J50" s="2" t="inlineStr">
        <is>
          <t xml:space="preserve"/>
        </is>
      </c>
      <c r="K50" s="2" t="inlineStr">
        <is>
          <t xml:space="preserve"/>
        </is>
      </c>
      <c r="L50" s="2" t="inlineStr">
        <is>
          <t xml:space="preserve"/>
        </is>
      </c>
      <c r="M50" s="2" t="inlineStr">
        <is>
          <t xml:space="preserve"/>
        </is>
      </c>
      <c r="N50" s="2" t="inlineStr">
        <is>
          <t xml:space="preserve"/>
        </is>
      </c>
      <c r="O50" s="2" t="inlineStr">
        <is>
          <t xml:space="preserve"/>
        </is>
      </c>
      <c r="P50" s="2" t="inlineStr">
        <is>
          <t xml:space="preserve">docs/features/SAVED_FILTERS.md; frontend/tests/saved-filter-migration.spec.ts</t>
        </is>
      </c>
      <c r="Q50" s="2" t="inlineStr">
        <is>
          <t xml:space="preserve">Not assessed</t>
        </is>
      </c>
      <c r="R50" s="2" t="inlineStr">
        <is>
          <t xml:space="preserve">Unclassified</t>
        </is>
      </c>
      <c r="S50" s="2" t="inlineStr">
        <is>
          <t xml:space="preserve">Not started</t>
        </is>
      </c>
    </row>
    <row r="51">
      <c r="A51" s="2" t="inlineStr">
        <is>
          <t xml:space="preserve">R7-03</t>
        </is>
      </c>
      <c r="B51" s="2" t="inlineStr">
        <is>
          <t xml:space="preserve">Compare Users</t>
        </is>
      </c>
      <c r="C51" s="2" t="inlineStr">
        <is>
          <t xml:space="preserve">Compare users, role/transaction differences › Evidence and difference badges aligned</t>
        </is>
      </c>
      <c r="D51" s="2" t="inlineStr">
        <is>
          <t xml:space="preserve">Difference and evidence badges start at the same vertical position in every row, SAP User Group sits directly beneath the evidence badge, "No matching evidence" is top-aligned, and rows with several evidence entries do not overlap.</t>
        </is>
      </c>
      <c r="E51" s="2" t="inlineStr">
        <is>
          <t xml:space="preserve">Not set</t>
        </is>
      </c>
      <c r="F51" s="2" t="inlineStr">
        <is>
          <t xml:space="preserve">Not tested</t>
        </is>
      </c>
      <c r="G51" s="2" t="inlineStr">
        <is>
          <t xml:space="preserve">Pending</t>
        </is>
      </c>
      <c r="H51" s="2" t="inlineStr">
        <is>
          <t xml:space="preserve">frontend/tests/investigation-tools.spec.ts (vertical position per row and side)</t>
        </is>
      </c>
      <c r="I51" s="2" t="inlineStr">
        <is>
          <t xml:space="preserve"/>
        </is>
      </c>
      <c r="J51" s="2" t="inlineStr">
        <is>
          <t xml:space="preserve"/>
        </is>
      </c>
      <c r="K51" s="2" t="inlineStr">
        <is>
          <t xml:space="preserve">Root cause: the first evidence item had 8px top padding and its status control an 8px top margin. Both removed for the first entry; both badges share one height.</t>
        </is>
      </c>
      <c r="L51" s="2" t="inlineStr">
        <is>
          <t xml:space="preserve"/>
        </is>
      </c>
      <c r="M51" s="2" t="inlineStr">
        <is>
          <t xml:space="preserve"/>
        </is>
      </c>
      <c r="N51" s="2" t="inlineStr">
        <is>
          <t xml:space="preserve">Check rows with several evidence entries and rows with no evidence in both themes.</t>
        </is>
      </c>
      <c r="O51" s="2" t="inlineStr">
        <is>
          <t xml:space="preserve"/>
        </is>
      </c>
      <c r="P51" s="2" t="inlineStr">
        <is>
          <t xml:space="preserve">frontend/src/styles/components.css</t>
        </is>
      </c>
      <c r="Q51" s="2" t="inlineStr">
        <is>
          <t xml:space="preserve">Implemented</t>
        </is>
      </c>
      <c r="R51" s="2" t="inlineStr">
        <is>
          <t xml:space="preserve">Unclassified</t>
        </is>
      </c>
      <c r="S51" s="2" t="inlineStr">
        <is>
          <t xml:space="preserve">Not started</t>
        </is>
      </c>
    </row>
    <row r="52">
      <c r="A52" s="2" t="inlineStr">
        <is>
          <t xml:space="preserve">REL-001</t>
        </is>
      </c>
      <c r="B52" s="2" t="inlineStr">
        <is>
          <t xml:space="preserve">Release Roles</t>
        </is>
      </c>
      <c r="C52" s="2" t="inlineStr">
        <is>
          <t xml:space="preserve">Release Roles › Filters</t>
        </is>
      </c>
      <c r="D52" s="2" t="inlineStr">
        <is>
          <t xml:space="preserve">SAP User Group (multi-select), release areas and groups, kind and validity dates filter the release matrix.</t>
        </is>
      </c>
      <c r="E52" s="2" t="inlineStr">
        <is>
          <t xml:space="preserve">Not set</t>
        </is>
      </c>
      <c r="F52" s="2" t="inlineStr">
        <is>
          <t xml:space="preserve">Not tested</t>
        </is>
      </c>
      <c r="G52" s="2" t="inlineStr">
        <is>
          <t xml:space="preserve">Pending</t>
        </is>
      </c>
      <c r="H52" s="2" t="inlineStr">
        <is>
          <t xml:space="preserve"/>
        </is>
      </c>
      <c r="I52" s="2" t="inlineStr">
        <is>
          <t xml:space="preserve"/>
        </is>
      </c>
      <c r="J52" s="2" t="inlineStr">
        <is>
          <t xml:space="preserve"/>
        </is>
      </c>
      <c r="K52" s="2" t="inlineStr">
        <is>
          <t xml:space="preserve"/>
        </is>
      </c>
      <c r="L52" s="2" t="inlineStr">
        <is>
          <t xml:space="preserve"/>
        </is>
      </c>
      <c r="M52" s="2" t="inlineStr">
        <is>
          <t xml:space="preserve"/>
        </is>
      </c>
      <c r="N52" s="2" t="inlineStr">
        <is>
          <t xml:space="preserve"/>
        </is>
      </c>
      <c r="O52" s="2" t="inlineStr">
        <is>
          <t xml:space="preserve"/>
        </is>
      </c>
      <c r="P52" s="2" t="inlineStr">
        <is>
          <t xml:space="preserve">docs/features/RELEASE_ROLES.md; frontend/tests/release-roles.spec.ts</t>
        </is>
      </c>
      <c r="Q52" s="2" t="inlineStr">
        <is>
          <t xml:space="preserve">Not assessed</t>
        </is>
      </c>
      <c r="R52" s="2" t="inlineStr">
        <is>
          <t xml:space="preserve">Unclassified</t>
        </is>
      </c>
      <c r="S52" s="2" t="inlineStr">
        <is>
          <t xml:space="preserve">Not started</t>
        </is>
      </c>
    </row>
    <row r="53">
      <c r="A53" s="2" t="inlineStr">
        <is>
          <t xml:space="preserve">REL-002</t>
        </is>
      </c>
      <c r="B53" s="2" t="inlineStr">
        <is>
          <t xml:space="preserve">Release Roles</t>
        </is>
      </c>
      <c r="C53" s="2" t="inlineStr">
        <is>
          <t xml:space="preserve">Release Roles › Release matrix</t>
        </is>
      </c>
      <c r="D53" s="2" t="inlineStr">
        <is>
          <t xml:space="preserve">The matrix shows release roles per group with correct counts and a visible sticky header.</t>
        </is>
      </c>
      <c r="E53" s="2" t="inlineStr">
        <is>
          <t xml:space="preserve">Not set</t>
        </is>
      </c>
      <c r="F53" s="2" t="inlineStr">
        <is>
          <t xml:space="preserve">Not tested</t>
        </is>
      </c>
      <c r="G53" s="2" t="inlineStr">
        <is>
          <t xml:space="preserve">Pending</t>
        </is>
      </c>
      <c r="H53" s="2" t="inlineStr">
        <is>
          <t xml:space="preserve"/>
        </is>
      </c>
      <c r="I53" s="2" t="inlineStr">
        <is>
          <t xml:space="preserve"/>
        </is>
      </c>
      <c r="J53" s="2" t="inlineStr">
        <is>
          <t xml:space="preserve"/>
        </is>
      </c>
      <c r="K53" s="2" t="inlineStr">
        <is>
          <t xml:space="preserve"/>
        </is>
      </c>
      <c r="L53" s="2" t="inlineStr">
        <is>
          <t xml:space="preserve"/>
        </is>
      </c>
      <c r="M53" s="2" t="inlineStr">
        <is>
          <t xml:space="preserve"/>
        </is>
      </c>
      <c r="N53" s="2" t="inlineStr">
        <is>
          <t xml:space="preserve"/>
        </is>
      </c>
      <c r="O53" s="2" t="inlineStr">
        <is>
          <t xml:space="preserve"/>
        </is>
      </c>
      <c r="P53" s="2" t="inlineStr">
        <is>
          <t xml:space="preserve">docs/features/RELEASE_ROLES.md; frontend/tests/release-roles.spec.ts</t>
        </is>
      </c>
      <c r="Q53" s="2" t="inlineStr">
        <is>
          <t xml:space="preserve">Not assessed</t>
        </is>
      </c>
      <c r="R53" s="2" t="inlineStr">
        <is>
          <t xml:space="preserve">Unclassified</t>
        </is>
      </c>
      <c r="S53" s="2" t="inlineStr">
        <is>
          <t xml:space="preserve">Not started</t>
        </is>
      </c>
    </row>
    <row r="54">
      <c r="A54" s="2" t="inlineStr">
        <is>
          <t xml:space="preserve">REL-003</t>
        </is>
      </c>
      <c r="B54" s="2" t="inlineStr">
        <is>
          <t xml:space="preserve">Release Roles</t>
        </is>
      </c>
      <c r="C54" s="2" t="inlineStr">
        <is>
          <t xml:space="preserve">Release Roles › Action toolbar</t>
        </is>
      </c>
      <c r="D54" s="2" t="inlineStr">
        <is>
          <t xml:space="preserve">Compare SAP User Groups, Add filtered roles, Copy role names, Export role list and Export CSV share one height and order.</t>
        </is>
      </c>
      <c r="E54" s="2" t="inlineStr">
        <is>
          <t xml:space="preserve">Not set</t>
        </is>
      </c>
      <c r="F54" s="2" t="inlineStr">
        <is>
          <t xml:space="preserve">Not tested</t>
        </is>
      </c>
      <c r="G54" s="2" t="inlineStr">
        <is>
          <t xml:space="preserve">Pending</t>
        </is>
      </c>
      <c r="H54" s="2" t="inlineStr">
        <is>
          <t xml:space="preserve"/>
        </is>
      </c>
      <c r="I54" s="2" t="inlineStr">
        <is>
          <t xml:space="preserve"/>
        </is>
      </c>
      <c r="J54" s="2" t="inlineStr">
        <is>
          <t xml:space="preserve"/>
        </is>
      </c>
      <c r="K54" s="2" t="inlineStr">
        <is>
          <t xml:space="preserve"/>
        </is>
      </c>
      <c r="L54" s="2" t="inlineStr">
        <is>
          <t xml:space="preserve"/>
        </is>
      </c>
      <c r="M54" s="2" t="inlineStr">
        <is>
          <t xml:space="preserve"/>
        </is>
      </c>
      <c r="N54" s="2" t="inlineStr">
        <is>
          <t xml:space="preserve"/>
        </is>
      </c>
      <c r="O54" s="2" t="inlineStr">
        <is>
          <t xml:space="preserve"/>
        </is>
      </c>
      <c r="P54" s="2" t="inlineStr">
        <is>
          <t xml:space="preserve">docs/features/RELEASE_ROLES.md; frontend/tests/release-roles.spec.ts</t>
        </is>
      </c>
      <c r="Q54" s="2" t="inlineStr">
        <is>
          <t xml:space="preserve">Not assessed</t>
        </is>
      </c>
      <c r="R54" s="2" t="inlineStr">
        <is>
          <t xml:space="preserve">Unclassified</t>
        </is>
      </c>
      <c r="S54" s="2" t="inlineStr">
        <is>
          <t xml:space="preserve">Not started</t>
        </is>
      </c>
    </row>
    <row r="55">
      <c r="A55" s="2" t="inlineStr">
        <is>
          <t xml:space="preserve">REL-004</t>
        </is>
      </c>
      <c r="B55" s="2" t="inlineStr">
        <is>
          <t xml:space="preserve">Release Roles</t>
        </is>
      </c>
      <c r="C55" s="2" t="inlineStr">
        <is>
          <t xml:space="preserve">Release Roles › Users of a release role</t>
        </is>
      </c>
      <c r="D55" s="2" t="inlineStr">
        <is>
          <t xml:space="preserve">The users modal is wide, scrollable and keeps names intact.</t>
        </is>
      </c>
      <c r="E55" s="2" t="inlineStr">
        <is>
          <t xml:space="preserve">Not set</t>
        </is>
      </c>
      <c r="F55" s="2" t="inlineStr">
        <is>
          <t xml:space="preserve">Not tested</t>
        </is>
      </c>
      <c r="G55" s="2" t="inlineStr">
        <is>
          <t xml:space="preserve">Pending</t>
        </is>
      </c>
      <c r="H55" s="2" t="inlineStr">
        <is>
          <t xml:space="preserve"/>
        </is>
      </c>
      <c r="I55" s="2" t="inlineStr">
        <is>
          <t xml:space="preserve"/>
        </is>
      </c>
      <c r="J55" s="2" t="inlineStr">
        <is>
          <t xml:space="preserve"/>
        </is>
      </c>
      <c r="K55" s="2" t="inlineStr">
        <is>
          <t xml:space="preserve"/>
        </is>
      </c>
      <c r="L55" s="2" t="inlineStr">
        <is>
          <t xml:space="preserve"/>
        </is>
      </c>
      <c r="M55" s="2" t="inlineStr">
        <is>
          <t xml:space="preserve"/>
        </is>
      </c>
      <c r="N55" s="2" t="inlineStr">
        <is>
          <t xml:space="preserve"/>
        </is>
      </c>
      <c r="O55" s="2" t="inlineStr">
        <is>
          <t xml:space="preserve"/>
        </is>
      </c>
      <c r="P55" s="2" t="inlineStr">
        <is>
          <t xml:space="preserve">docs/features/RELEASE_ROLES.md; frontend/tests/release-roles.spec.ts</t>
        </is>
      </c>
      <c r="Q55" s="2" t="inlineStr">
        <is>
          <t xml:space="preserve">Not assessed</t>
        </is>
      </c>
      <c r="R55" s="2" t="inlineStr">
        <is>
          <t xml:space="preserve">Unclassified</t>
        </is>
      </c>
      <c r="S55" s="2" t="inlineStr">
        <is>
          <t xml:space="preserve">Not started</t>
        </is>
      </c>
    </row>
    <row r="56">
      <c r="A56" s="2" t="inlineStr">
        <is>
          <t xml:space="preserve">REL-005</t>
        </is>
      </c>
      <c r="B56" s="2" t="inlineStr">
        <is>
          <t xml:space="preserve">Release Roles</t>
        </is>
      </c>
      <c r="C56" s="2" t="inlineStr">
        <is>
          <t xml:space="preserve">Release Roles › Exports</t>
        </is>
      </c>
      <c r="D56" s="2" t="inlineStr">
        <is>
          <t xml:space="preserve">Exports respect the active filters and omit presentation-only grouping.</t>
        </is>
      </c>
      <c r="E56" s="2" t="inlineStr">
        <is>
          <t xml:space="preserve">Not set</t>
        </is>
      </c>
      <c r="F56" s="2" t="inlineStr">
        <is>
          <t xml:space="preserve">Not tested</t>
        </is>
      </c>
      <c r="G56" s="2" t="inlineStr">
        <is>
          <t xml:space="preserve">Pending</t>
        </is>
      </c>
      <c r="H56" s="2" t="inlineStr">
        <is>
          <t xml:space="preserve"/>
        </is>
      </c>
      <c r="I56" s="2" t="inlineStr">
        <is>
          <t xml:space="preserve"/>
        </is>
      </c>
      <c r="J56" s="2" t="inlineStr">
        <is>
          <t xml:space="preserve"/>
        </is>
      </c>
      <c r="K56" s="2" t="inlineStr">
        <is>
          <t xml:space="preserve"/>
        </is>
      </c>
      <c r="L56" s="2" t="inlineStr">
        <is>
          <t xml:space="preserve"/>
        </is>
      </c>
      <c r="M56" s="2" t="inlineStr">
        <is>
          <t xml:space="preserve"/>
        </is>
      </c>
      <c r="N56" s="2" t="inlineStr">
        <is>
          <t xml:space="preserve"/>
        </is>
      </c>
      <c r="O56" s="2" t="inlineStr">
        <is>
          <t xml:space="preserve"/>
        </is>
      </c>
      <c r="P56" s="2" t="inlineStr">
        <is>
          <t xml:space="preserve">docs/features/RELEASE_ROLES.md; frontend/tests/release-roles.spec.ts</t>
        </is>
      </c>
      <c r="Q56" s="2" t="inlineStr">
        <is>
          <t xml:space="preserve">Not assessed</t>
        </is>
      </c>
      <c r="R56" s="2" t="inlineStr">
        <is>
          <t xml:space="preserve">Unclassified</t>
        </is>
      </c>
      <c r="S56" s="2" t="inlineStr">
        <is>
          <t xml:space="preserve">Not started</t>
        </is>
      </c>
    </row>
    <row r="57">
      <c r="A57" s="2" t="inlineStr">
        <is>
          <t xml:space="preserve">SODO-001</t>
        </is>
      </c>
      <c r="B57" s="2" t="inlineStr">
        <is>
          <t xml:space="preserve">SoD Overview</t>
        </is>
      </c>
      <c r="C57" s="2" t="inlineStr">
        <is>
          <t xml:space="preserve">SoD Overview › Conflicts group</t>
        </is>
      </c>
      <c r="D57" s="2" t="inlineStr">
        <is>
          <t xml:space="preserve">Users with potential conflicts, users with more than one risk, user-risk findings and enabled risk definitions open the matching filtered view.</t>
        </is>
      </c>
      <c r="E57" s="2" t="inlineStr">
        <is>
          <t xml:space="preserve">Not set</t>
        </is>
      </c>
      <c r="F57" s="2" t="inlineStr">
        <is>
          <t xml:space="preserve">Not tested</t>
        </is>
      </c>
      <c r="G57" s="2" t="inlineStr">
        <is>
          <t xml:space="preserve">Pending</t>
        </is>
      </c>
      <c r="H57" s="2" t="inlineStr">
        <is>
          <t xml:space="preserve"/>
        </is>
      </c>
      <c r="I57" s="2" t="inlineStr">
        <is>
          <t xml:space="preserve"/>
        </is>
      </c>
      <c r="J57" s="2" t="inlineStr">
        <is>
          <t xml:space="preserve"/>
        </is>
      </c>
      <c r="K57" s="2" t="inlineStr">
        <is>
          <t xml:space="preserve"/>
        </is>
      </c>
      <c r="L57" s="2" t="inlineStr">
        <is>
          <t xml:space="preserve"/>
        </is>
      </c>
      <c r="M57" s="2" t="inlineStr">
        <is>
          <t xml:space="preserve"/>
        </is>
      </c>
      <c r="N57" s="2" t="inlineStr">
        <is>
          <t xml:space="preserve"/>
        </is>
      </c>
      <c r="O57" s="2" t="inlineStr">
        <is>
          <t xml:space="preserve"/>
        </is>
      </c>
      <c r="P57" s="2" t="inlineStr">
        <is>
          <t xml:space="preserve">docs/features/SOD.md; frontend/tests/sod-overview-actionable.spec.ts, frontend/tests/sod-overview-heatmap.spec.ts</t>
        </is>
      </c>
      <c r="Q57" s="2" t="inlineStr">
        <is>
          <t xml:space="preserve">Not assessed</t>
        </is>
      </c>
      <c r="R57" s="2" t="inlineStr">
        <is>
          <t xml:space="preserve">Unclassified</t>
        </is>
      </c>
      <c r="S57" s="2" t="inlineStr">
        <is>
          <t xml:space="preserve">Not started</t>
        </is>
      </c>
    </row>
    <row r="58">
      <c r="A58" s="2" t="inlineStr">
        <is>
          <t xml:space="preserve">SODO-002</t>
        </is>
      </c>
      <c r="B58" s="2" t="inlineStr">
        <is>
          <t xml:space="preserve">SoD Overview</t>
        </is>
      </c>
      <c r="C58" s="2" t="inlineStr">
        <is>
          <t xml:space="preserve">SoD Overview › Reviews group</t>
        </is>
      </c>
      <c r="D58" s="2" t="inlineStr">
        <is>
          <t xml:space="preserve">Activity and risk review counts match the matrices and link to filtered views.</t>
        </is>
      </c>
      <c r="E58" s="2" t="inlineStr">
        <is>
          <t xml:space="preserve">Not set</t>
        </is>
      </c>
      <c r="F58" s="2" t="inlineStr">
        <is>
          <t xml:space="preserve">Not tested</t>
        </is>
      </c>
      <c r="G58" s="2" t="inlineStr">
        <is>
          <t xml:space="preserve">Pending</t>
        </is>
      </c>
      <c r="H58" s="2" t="inlineStr">
        <is>
          <t xml:space="preserve"/>
        </is>
      </c>
      <c r="I58" s="2" t="inlineStr">
        <is>
          <t xml:space="preserve"/>
        </is>
      </c>
      <c r="J58" s="2" t="inlineStr">
        <is>
          <t xml:space="preserve"/>
        </is>
      </c>
      <c r="K58" s="2" t="inlineStr">
        <is>
          <t xml:space="preserve"/>
        </is>
      </c>
      <c r="L58" s="2" t="inlineStr">
        <is>
          <t xml:space="preserve"/>
        </is>
      </c>
      <c r="M58" s="2" t="inlineStr">
        <is>
          <t xml:space="preserve"/>
        </is>
      </c>
      <c r="N58" s="2" t="inlineStr">
        <is>
          <t xml:space="preserve"/>
        </is>
      </c>
      <c r="O58" s="2" t="inlineStr">
        <is>
          <t xml:space="preserve"/>
        </is>
      </c>
      <c r="P58" s="2" t="inlineStr">
        <is>
          <t xml:space="preserve">docs/features/SOD.md; frontend/tests/sod-overview-heatmap.spec.ts</t>
        </is>
      </c>
      <c r="Q58" s="2" t="inlineStr">
        <is>
          <t xml:space="preserve">Not assessed</t>
        </is>
      </c>
      <c r="R58" s="2" t="inlineStr">
        <is>
          <t xml:space="preserve">Unclassified</t>
        </is>
      </c>
      <c r="S58" s="2" t="inlineStr">
        <is>
          <t xml:space="preserve">Not started</t>
        </is>
      </c>
    </row>
    <row r="59">
      <c r="A59" s="2" t="inlineStr">
        <is>
          <t xml:space="preserve">SODO-003</t>
        </is>
      </c>
      <c r="B59" s="2" t="inlineStr">
        <is>
          <t xml:space="preserve">SoD Overview</t>
        </is>
      </c>
      <c r="C59" s="2" t="inlineStr">
        <is>
          <t xml:space="preserve">SoD Overview › Remediation group</t>
        </is>
      </c>
      <c r="D59" s="2" t="inlineStr">
        <is>
          <t xml:space="preserve">Assignments marked for removal, open and overdue actions and remediation awaiting action link to Remediation.</t>
        </is>
      </c>
      <c r="E59" s="2" t="inlineStr">
        <is>
          <t xml:space="preserve">Not set</t>
        </is>
      </c>
      <c r="F59" s="2" t="inlineStr">
        <is>
          <t xml:space="preserve">Not tested</t>
        </is>
      </c>
      <c r="G59" s="2" t="inlineStr">
        <is>
          <t xml:space="preserve">Pending</t>
        </is>
      </c>
      <c r="H59" s="2" t="inlineStr">
        <is>
          <t xml:space="preserve"/>
        </is>
      </c>
      <c r="I59" s="2" t="inlineStr">
        <is>
          <t xml:space="preserve"/>
        </is>
      </c>
      <c r="J59" s="2" t="inlineStr">
        <is>
          <t xml:space="preserve"/>
        </is>
      </c>
      <c r="K59" s="2" t="inlineStr">
        <is>
          <t xml:space="preserve"/>
        </is>
      </c>
      <c r="L59" s="2" t="inlineStr">
        <is>
          <t xml:space="preserve"/>
        </is>
      </c>
      <c r="M59" s="2" t="inlineStr">
        <is>
          <t xml:space="preserve"/>
        </is>
      </c>
      <c r="N59" s="2" t="inlineStr">
        <is>
          <t xml:space="preserve"/>
        </is>
      </c>
      <c r="O59" s="2" t="inlineStr">
        <is>
          <t xml:space="preserve"/>
        </is>
      </c>
      <c r="P59" s="2" t="inlineStr">
        <is>
          <t xml:space="preserve">docs/features/SOD.md; frontend/tests/sod-overview-actionable.spec.ts</t>
        </is>
      </c>
      <c r="Q59" s="2" t="inlineStr">
        <is>
          <t xml:space="preserve">Not assessed</t>
        </is>
      </c>
      <c r="R59" s="2" t="inlineStr">
        <is>
          <t xml:space="preserve">Unclassified</t>
        </is>
      </c>
      <c r="S59" s="2" t="inlineStr">
        <is>
          <t xml:space="preserve">Not started</t>
        </is>
      </c>
    </row>
    <row r="60">
      <c r="A60" s="2" t="inlineStr">
        <is>
          <t xml:space="preserve">SODO-004</t>
        </is>
      </c>
      <c r="B60" s="2" t="inlineStr">
        <is>
          <t xml:space="preserve">SoD Overview</t>
        </is>
      </c>
      <c r="C60" s="2" t="inlineStr">
        <is>
          <t xml:space="preserve">SoD Overview › Card alignment</t>
        </is>
      </c>
      <c r="D60" s="2" t="inlineStr">
        <is>
          <t xml:space="preserve">Conflicts, Reviews and Remediation rows share height and spacing.</t>
        </is>
      </c>
      <c r="E60" s="2" t="inlineStr">
        <is>
          <t xml:space="preserve">Not set</t>
        </is>
      </c>
      <c r="F60" s="2" t="inlineStr">
        <is>
          <t xml:space="preserve">Not tested</t>
        </is>
      </c>
      <c r="G60" s="2" t="inlineStr">
        <is>
          <t xml:space="preserve">Pending</t>
        </is>
      </c>
      <c r="H60" s="2" t="inlineStr">
        <is>
          <t xml:space="preserve"/>
        </is>
      </c>
      <c r="I60" s="2" t="inlineStr">
        <is>
          <t xml:space="preserve"/>
        </is>
      </c>
      <c r="J60" s="2" t="inlineStr">
        <is>
          <t xml:space="preserve"/>
        </is>
      </c>
      <c r="K60" s="2" t="inlineStr">
        <is>
          <t xml:space="preserve"/>
        </is>
      </c>
      <c r="L60" s="2" t="inlineStr">
        <is>
          <t xml:space="preserve"/>
        </is>
      </c>
      <c r="M60" s="2" t="inlineStr">
        <is>
          <t xml:space="preserve"/>
        </is>
      </c>
      <c r="N60" s="2" t="inlineStr">
        <is>
          <t xml:space="preserve"/>
        </is>
      </c>
      <c r="O60" s="2" t="inlineStr">
        <is>
          <t xml:space="preserve"/>
        </is>
      </c>
      <c r="P60" s="2" t="inlineStr">
        <is>
          <t xml:space="preserve">docs/features/SOD.md; frontend/tests/sod-overview-actionable.spec.ts</t>
        </is>
      </c>
      <c r="Q60" s="2" t="inlineStr">
        <is>
          <t xml:space="preserve">Not assessed</t>
        </is>
      </c>
      <c r="R60" s="2" t="inlineStr">
        <is>
          <t xml:space="preserve">Unclassified</t>
        </is>
      </c>
      <c r="S60" s="2" t="inlineStr">
        <is>
          <t xml:space="preserve">Not started</t>
        </is>
      </c>
    </row>
    <row r="61">
      <c r="A61" s="2" t="inlineStr">
        <is>
          <t xml:space="preserve">SODO-005</t>
        </is>
      </c>
      <c r="B61" s="2" t="inlineStr">
        <is>
          <t xml:space="preserve">SoD Overview</t>
        </is>
      </c>
      <c r="C61" s="2" t="inlineStr">
        <is>
          <t xml:space="preserve">SoD Overview › SAP User Group heatmap</t>
        </is>
      </c>
      <c r="D61" s="2" t="inlineStr">
        <is>
          <t xml:space="preserve">Distinct users per group and risk; selections write to page filters or hand over to the matching matrix.</t>
        </is>
      </c>
      <c r="E61" s="2" t="inlineStr">
        <is>
          <t xml:space="preserve">Not set</t>
        </is>
      </c>
      <c r="F61" s="2" t="inlineStr">
        <is>
          <t xml:space="preserve">Not tested</t>
        </is>
      </c>
      <c r="G61" s="2" t="inlineStr">
        <is>
          <t xml:space="preserve">Pending</t>
        </is>
      </c>
      <c r="H61" s="2" t="inlineStr">
        <is>
          <t xml:space="preserve"/>
        </is>
      </c>
      <c r="I61" s="2" t="inlineStr">
        <is>
          <t xml:space="preserve"/>
        </is>
      </c>
      <c r="J61" s="2" t="inlineStr">
        <is>
          <t xml:space="preserve"/>
        </is>
      </c>
      <c r="K61" s="2" t="inlineStr">
        <is>
          <t xml:space="preserve"/>
        </is>
      </c>
      <c r="L61" s="2" t="inlineStr">
        <is>
          <t xml:space="preserve"/>
        </is>
      </c>
      <c r="M61" s="2" t="inlineStr">
        <is>
          <t xml:space="preserve"/>
        </is>
      </c>
      <c r="N61" s="2" t="inlineStr">
        <is>
          <t xml:space="preserve"/>
        </is>
      </c>
      <c r="O61" s="2" t="inlineStr">
        <is>
          <t xml:space="preserve"/>
        </is>
      </c>
      <c r="P61" s="2" t="inlineStr">
        <is>
          <t xml:space="preserve">docs/features/SOD.md; frontend/tests/sod-shared-heatmap.spec.ts</t>
        </is>
      </c>
      <c r="Q61" s="2" t="inlineStr">
        <is>
          <t xml:space="preserve">Not assessed</t>
        </is>
      </c>
      <c r="R61" s="2" t="inlineStr">
        <is>
          <t xml:space="preserve">Unclassified</t>
        </is>
      </c>
      <c r="S61" s="2" t="inlineStr">
        <is>
          <t xml:space="preserve">Not started</t>
        </is>
      </c>
    </row>
    <row r="62">
      <c r="A62" s="2" t="inlineStr">
        <is>
          <t xml:space="preserve">SODO-006</t>
        </is>
      </c>
      <c r="B62" s="2" t="inlineStr">
        <is>
          <t xml:space="preserve">SoD Overview</t>
        </is>
      </c>
      <c r="C62" s="2" t="inlineStr">
        <is>
          <t xml:space="preserve">SoD Overview › Review period and approval</t>
        </is>
      </c>
      <c r="D62" s="2" t="inlineStr">
        <is>
          <t xml:space="preserve">Latest approval and open period progress are shown; empty states are explicit.</t>
        </is>
      </c>
      <c r="E62" s="2" t="inlineStr">
        <is>
          <t xml:space="preserve">Not set</t>
        </is>
      </c>
      <c r="F62" s="2" t="inlineStr">
        <is>
          <t xml:space="preserve">Not tested</t>
        </is>
      </c>
      <c r="G62" s="2" t="inlineStr">
        <is>
          <t xml:space="preserve">Pending</t>
        </is>
      </c>
      <c r="H62" s="2" t="inlineStr">
        <is>
          <t xml:space="preserve"/>
        </is>
      </c>
      <c r="I62" s="2" t="inlineStr">
        <is>
          <t xml:space="preserve"/>
        </is>
      </c>
      <c r="J62" s="2" t="inlineStr">
        <is>
          <t xml:space="preserve"/>
        </is>
      </c>
      <c r="K62" s="2" t="inlineStr">
        <is>
          <t xml:space="preserve"/>
        </is>
      </c>
      <c r="L62" s="2" t="inlineStr">
        <is>
          <t xml:space="preserve"/>
        </is>
      </c>
      <c r="M62" s="2" t="inlineStr">
        <is>
          <t xml:space="preserve"/>
        </is>
      </c>
      <c r="N62" s="2" t="inlineStr">
        <is>
          <t xml:space="preserve"/>
        </is>
      </c>
      <c r="O62" s="2" t="inlineStr">
        <is>
          <t xml:space="preserve"/>
        </is>
      </c>
      <c r="P62" s="2" t="inlineStr">
        <is>
          <t xml:space="preserve">docs/features/SOD.md; frontend/tests/sod-periods.spec.ts</t>
        </is>
      </c>
      <c r="Q62" s="2" t="inlineStr">
        <is>
          <t xml:space="preserve">Not assessed</t>
        </is>
      </c>
      <c r="R62" s="2" t="inlineStr">
        <is>
          <t xml:space="preserve">Unclassified</t>
        </is>
      </c>
      <c r="S62" s="2" t="inlineStr">
        <is>
          <t xml:space="preserve">Not started</t>
        </is>
      </c>
    </row>
    <row r="63">
      <c r="A63" s="2" t="inlineStr">
        <is>
          <t xml:space="preserve">SODO-007</t>
        </is>
      </c>
      <c r="B63" s="2" t="inlineStr">
        <is>
          <t xml:space="preserve">SoD Overview</t>
        </is>
      </c>
      <c r="C63" s="2" t="inlineStr">
        <is>
          <t xml:space="preserve">SoD Overview › Evidence freshness and coverage</t>
        </is>
      </c>
      <c r="D63" s="2" t="inlineStr">
        <is>
          <t xml:space="preserve">Import and check times, change since the last refresh and catalogue coverage are shown with limits.</t>
        </is>
      </c>
      <c r="E63" s="2" t="inlineStr">
        <is>
          <t xml:space="preserve">Not set</t>
        </is>
      </c>
      <c r="F63" s="2" t="inlineStr">
        <is>
          <t xml:space="preserve">Not tested</t>
        </is>
      </c>
      <c r="G63" s="2" t="inlineStr">
        <is>
          <t xml:space="preserve">Pending</t>
        </is>
      </c>
      <c r="H63" s="2" t="inlineStr">
        <is>
          <t xml:space="preserve"/>
        </is>
      </c>
      <c r="I63" s="2" t="inlineStr">
        <is>
          <t xml:space="preserve"/>
        </is>
      </c>
      <c r="J63" s="2" t="inlineStr">
        <is>
          <t xml:space="preserve"/>
        </is>
      </c>
      <c r="K63" s="2" t="inlineStr">
        <is>
          <t xml:space="preserve"/>
        </is>
      </c>
      <c r="L63" s="2" t="inlineStr">
        <is>
          <t xml:space="preserve"/>
        </is>
      </c>
      <c r="M63" s="2" t="inlineStr">
        <is>
          <t xml:space="preserve"/>
        </is>
      </c>
      <c r="N63" s="2" t="inlineStr">
        <is>
          <t xml:space="preserve"/>
        </is>
      </c>
      <c r="O63" s="2" t="inlineStr">
        <is>
          <t xml:space="preserve"/>
        </is>
      </c>
      <c r="P63" s="2" t="inlineStr">
        <is>
          <t xml:space="preserve">docs/features/SOD.md; frontend/tests/sod-overview-heatmap.spec.ts</t>
        </is>
      </c>
      <c r="Q63" s="2" t="inlineStr">
        <is>
          <t xml:space="preserve">Not assessed</t>
        </is>
      </c>
      <c r="R63" s="2" t="inlineStr">
        <is>
          <t xml:space="preserve">Unclassified</t>
        </is>
      </c>
      <c r="S63" s="2" t="inlineStr">
        <is>
          <t xml:space="preserve">Not started</t>
        </is>
      </c>
    </row>
    <row r="64">
      <c r="A64" s="2" t="inlineStr">
        <is>
          <t xml:space="preserve">SODO-008</t>
        </is>
      </c>
      <c r="B64" s="2" t="inlineStr">
        <is>
          <t xml:space="preserve">SoD Overview</t>
        </is>
      </c>
      <c r="C64" s="2" t="inlineStr">
        <is>
          <t xml:space="preserve">SoD Overview › Unavailable states</t>
        </is>
      </c>
      <c r="D64" s="2" t="inlineStr">
        <is>
          <t xml:space="preserve">Disabled SoD, disabled mapping or missing sources show an explained unavailable state, never zero conflicts.</t>
        </is>
      </c>
      <c r="E64" s="2" t="inlineStr">
        <is>
          <t xml:space="preserve">Not set</t>
        </is>
      </c>
      <c r="F64" s="2" t="inlineStr">
        <is>
          <t xml:space="preserve">Not tested</t>
        </is>
      </c>
      <c r="G64" s="2" t="inlineStr">
        <is>
          <t xml:space="preserve">Pending</t>
        </is>
      </c>
      <c r="H64" s="2" t="inlineStr">
        <is>
          <t xml:space="preserve"/>
        </is>
      </c>
      <c r="I64" s="2" t="inlineStr">
        <is>
          <t xml:space="preserve"/>
        </is>
      </c>
      <c r="J64" s="2" t="inlineStr">
        <is>
          <t xml:space="preserve"/>
        </is>
      </c>
      <c r="K64" s="2" t="inlineStr">
        <is>
          <t xml:space="preserve"/>
        </is>
      </c>
      <c r="L64" s="2" t="inlineStr">
        <is>
          <t xml:space="preserve"/>
        </is>
      </c>
      <c r="M64" s="2" t="inlineStr">
        <is>
          <t xml:space="preserve"/>
        </is>
      </c>
      <c r="N64" s="2" t="inlineStr">
        <is>
          <t xml:space="preserve"/>
        </is>
      </c>
      <c r="O64" s="2" t="inlineStr">
        <is>
          <t xml:space="preserve"/>
        </is>
      </c>
      <c r="P64" s="2" t="inlineStr">
        <is>
          <t xml:space="preserve">docs/features/SOD.md; frontend/tests/sod-feature.spec.ts, frontend/tests/sod-dashboard-startup.spec.ts</t>
        </is>
      </c>
      <c r="Q64" s="2" t="inlineStr">
        <is>
          <t xml:space="preserve">Not assessed</t>
        </is>
      </c>
      <c r="R64" s="2" t="inlineStr">
        <is>
          <t xml:space="preserve">Unclassified</t>
        </is>
      </c>
      <c r="S64" s="2" t="inlineStr">
        <is>
          <t xml:space="preserve">Not started</t>
        </is>
      </c>
    </row>
    <row r="65">
      <c r="A65" s="2" t="inlineStr">
        <is>
          <t xml:space="preserve">R7-04</t>
        </is>
      </c>
      <c r="B65" s="2" t="inlineStr">
        <is>
          <t xml:space="preserve">SoD Overview</t>
        </is>
      </c>
      <c r="C65" s="2" t="inlineStr">
        <is>
          <t xml:space="preserve">SoD Overview, Conflicts by SAP User Group › Expanded by default and collapsible</t>
        </is>
      </c>
      <c r="D65" s="2" t="inlineStr">
        <is>
          <t xml:space="preserve">The section is expanded in a new session, can be collapsed and expanded with header and chevron as one toggle (aria-expanded, keyboard, rounded focus ring), keeps its state across SoD tabs in the session and is expanded again in a new session.</t>
        </is>
      </c>
      <c r="E65" s="2" t="inlineStr">
        <is>
          <t xml:space="preserve">Not set</t>
        </is>
      </c>
      <c r="F65" s="2" t="inlineStr">
        <is>
          <t xml:space="preserve">Not tested</t>
        </is>
      </c>
      <c r="G65" s="2" t="inlineStr">
        <is>
          <t xml:space="preserve">Pending</t>
        </is>
      </c>
      <c r="H65" s="2" t="inlineStr">
        <is>
          <t xml:space="preserve">frontend/tests/sod-shared-heatmap.spec.ts</t>
        </is>
      </c>
      <c r="I65" s="2" t="inlineStr">
        <is>
          <t xml:space="preserve"/>
        </is>
      </c>
      <c r="J65" s="2" t="inlineStr">
        <is>
          <t xml:space="preserve"/>
        </is>
      </c>
      <c r="K65" s="2" t="inlineStr">
        <is>
          <t xml:space="preserve">Root cause: the choice was stored in localStorage, so one collapse stayed collapsed forever. It now uses sessionStorage.</t>
        </is>
      </c>
      <c r="L65" s="2" t="inlineStr">
        <is>
          <t xml:space="preserve"/>
        </is>
      </c>
      <c r="M65" s="2" t="inlineStr">
        <is>
          <t xml:space="preserve"/>
        </is>
      </c>
      <c r="N65" s="2" t="inlineStr">
        <is>
          <t xml:space="preserve">Close and reopen the desktop application and confirm the section is expanded again.</t>
        </is>
      </c>
      <c r="O65" s="2" t="inlineStr">
        <is>
          <t xml:space="preserve">A page reload inside one window keeps the choice (session storage).</t>
        </is>
      </c>
      <c r="P65" s="2" t="inlineStr">
        <is>
          <t xml:space="preserve">frontend/src/lib/localPreference.ts; frontend/src/components/Sod/SodGroupHeatmap.tsx</t>
        </is>
      </c>
      <c r="Q65" s="2" t="inlineStr">
        <is>
          <t xml:space="preserve">Implemented</t>
        </is>
      </c>
      <c r="R65" s="2" t="inlineStr">
        <is>
          <t xml:space="preserve">Unclassified</t>
        </is>
      </c>
      <c r="S65" s="2" t="inlineStr">
        <is>
          <t xml:space="preserve">Not started</t>
        </is>
      </c>
    </row>
    <row r="66">
      <c r="A66" s="2" t="inlineStr">
        <is>
          <t xml:space="preserve">SODM-001</t>
        </is>
      </c>
      <c r="B66" s="2" t="inlineStr">
        <is>
          <t xml:space="preserve">Risk Matrix</t>
        </is>
      </c>
      <c r="C66" s="2" t="inlineStr">
        <is>
          <t xml:space="preserve">Risk and Activity Matrix › Identity column</t>
        </is>
      </c>
      <c r="D66" s="2" t="inlineStr">
        <is>
          <t xml:space="preserve">SAP username as a copyable codeblock with the SAP User Group beneath in smaller text.</t>
        </is>
      </c>
      <c r="E66" s="2" t="inlineStr">
        <is>
          <t xml:space="preserve">Not set</t>
        </is>
      </c>
      <c r="F66" s="2" t="inlineStr">
        <is>
          <t xml:space="preserve">Not tested</t>
        </is>
      </c>
      <c r="G66" s="2" t="inlineStr">
        <is>
          <t xml:space="preserve">Pending</t>
        </is>
      </c>
      <c r="H66" s="2" t="inlineStr">
        <is>
          <t xml:space="preserve"/>
        </is>
      </c>
      <c r="I66" s="2" t="inlineStr">
        <is>
          <t xml:space="preserve"/>
        </is>
      </c>
      <c r="J66" s="2" t="inlineStr">
        <is>
          <t xml:space="preserve"/>
        </is>
      </c>
      <c r="K66" s="2" t="inlineStr">
        <is>
          <t xml:space="preserve"/>
        </is>
      </c>
      <c r="L66" s="2" t="inlineStr">
        <is>
          <t xml:space="preserve"/>
        </is>
      </c>
      <c r="M66" s="2" t="inlineStr">
        <is>
          <t xml:space="preserve"/>
        </is>
      </c>
      <c r="N66" s="2" t="inlineStr">
        <is>
          <t xml:space="preserve"/>
        </is>
      </c>
      <c r="O66" s="2" t="inlineStr">
        <is>
          <t xml:space="preserve"/>
        </is>
      </c>
      <c r="P66" s="2" t="inlineStr">
        <is>
          <t xml:space="preserve">docs/features/SOD.md; frontend/tests/sod-matrix-grouping.spec.ts</t>
        </is>
      </c>
      <c r="Q66" s="2" t="inlineStr">
        <is>
          <t xml:space="preserve">Not assessed</t>
        </is>
      </c>
      <c r="R66" s="2" t="inlineStr">
        <is>
          <t xml:space="preserve">Unclassified</t>
        </is>
      </c>
      <c r="S66" s="2" t="inlineStr">
        <is>
          <t xml:space="preserve">Not started</t>
        </is>
      </c>
    </row>
    <row r="67">
      <c r="A67" s="2" t="inlineStr">
        <is>
          <t xml:space="preserve">SODM-002</t>
        </is>
      </c>
      <c r="B67" s="2" t="inlineStr">
        <is>
          <t xml:space="preserve">Risk Matrix</t>
        </is>
      </c>
      <c r="C67" s="2" t="inlineStr">
        <is>
          <t xml:space="preserve">Risk and Activity Matrix › Sticky first column</t>
        </is>
      </c>
      <c r="D67" s="2" t="inlineStr">
        <is>
          <t xml:space="preserve">The first column stays pinned with opaque background and correct stacking while scrolling sideways.</t>
        </is>
      </c>
      <c r="E67" s="2" t="inlineStr">
        <is>
          <t xml:space="preserve">Not set</t>
        </is>
      </c>
      <c r="F67" s="2" t="inlineStr">
        <is>
          <t xml:space="preserve">Not tested</t>
        </is>
      </c>
      <c r="G67" s="2" t="inlineStr">
        <is>
          <t xml:space="preserve">Pending</t>
        </is>
      </c>
      <c r="H67" s="2" t="inlineStr">
        <is>
          <t xml:space="preserve"/>
        </is>
      </c>
      <c r="I67" s="2" t="inlineStr">
        <is>
          <t xml:space="preserve"/>
        </is>
      </c>
      <c r="J67" s="2" t="inlineStr">
        <is>
          <t xml:space="preserve"/>
        </is>
      </c>
      <c r="K67" s="2" t="inlineStr">
        <is>
          <t xml:space="preserve"/>
        </is>
      </c>
      <c r="L67" s="2" t="inlineStr">
        <is>
          <t xml:space="preserve"/>
        </is>
      </c>
      <c r="M67" s="2" t="inlineStr">
        <is>
          <t xml:space="preserve"/>
        </is>
      </c>
      <c r="N67" s="2" t="inlineStr">
        <is>
          <t xml:space="preserve"/>
        </is>
      </c>
      <c r="O67" s="2" t="inlineStr">
        <is>
          <t xml:space="preserve"/>
        </is>
      </c>
      <c r="P67" s="2" t="inlineStr">
        <is>
          <t xml:space="preserve">docs/features/SOD.md; frontend/tests/sod-matrix-grouping.spec.ts</t>
        </is>
      </c>
      <c r="Q67" s="2" t="inlineStr">
        <is>
          <t xml:space="preserve">Not assessed</t>
        </is>
      </c>
      <c r="R67" s="2" t="inlineStr">
        <is>
          <t xml:space="preserve">Unclassified</t>
        </is>
      </c>
      <c r="S67" s="2" t="inlineStr">
        <is>
          <t xml:space="preserve">Not started</t>
        </is>
      </c>
    </row>
    <row r="68">
      <c r="A68" s="2" t="inlineStr">
        <is>
          <t xml:space="preserve">SODM-003</t>
        </is>
      </c>
      <c r="B68" s="2" t="inlineStr">
        <is>
          <t xml:space="preserve">Risk Matrix</t>
        </is>
      </c>
      <c r="C68" s="2" t="inlineStr">
        <is>
          <t xml:space="preserve">Risk and Activity Matrix › Group by SAP User Group</t>
        </is>
      </c>
      <c r="D68" s="2" t="inlineStr">
        <is>
          <t xml:space="preserve">No grouping is the default; grouping lists each user once under a group header with distinct users and finding counts.</t>
        </is>
      </c>
      <c r="E68" s="2" t="inlineStr">
        <is>
          <t xml:space="preserve">Not set</t>
        </is>
      </c>
      <c r="F68" s="2" t="inlineStr">
        <is>
          <t xml:space="preserve">Not tested</t>
        </is>
      </c>
      <c r="G68" s="2" t="inlineStr">
        <is>
          <t xml:space="preserve">Pending</t>
        </is>
      </c>
      <c r="H68" s="2" t="inlineStr">
        <is>
          <t xml:space="preserve"/>
        </is>
      </c>
      <c r="I68" s="2" t="inlineStr">
        <is>
          <t xml:space="preserve"/>
        </is>
      </c>
      <c r="J68" s="2" t="inlineStr">
        <is>
          <t xml:space="preserve"/>
        </is>
      </c>
      <c r="K68" s="2" t="inlineStr">
        <is>
          <t xml:space="preserve"/>
        </is>
      </c>
      <c r="L68" s="2" t="inlineStr">
        <is>
          <t xml:space="preserve"/>
        </is>
      </c>
      <c r="M68" s="2" t="inlineStr">
        <is>
          <t xml:space="preserve"/>
        </is>
      </c>
      <c r="N68" s="2" t="inlineStr">
        <is>
          <t xml:space="preserve"/>
        </is>
      </c>
      <c r="O68" s="2" t="inlineStr">
        <is>
          <t xml:space="preserve"/>
        </is>
      </c>
      <c r="P68" s="2" t="inlineStr">
        <is>
          <t xml:space="preserve">docs/features/SOD.md; frontend/tests/sod-matrix-grouping.spec.ts</t>
        </is>
      </c>
      <c r="Q68" s="2" t="inlineStr">
        <is>
          <t xml:space="preserve">Not assessed</t>
        </is>
      </c>
      <c r="R68" s="2" t="inlineStr">
        <is>
          <t xml:space="preserve">Unclassified</t>
        </is>
      </c>
      <c r="S68" s="2" t="inlineStr">
        <is>
          <t xml:space="preserve">Not started</t>
        </is>
      </c>
    </row>
    <row r="69">
      <c r="A69" s="2" t="inlineStr">
        <is>
          <t xml:space="preserve">SODM-004</t>
        </is>
      </c>
      <c r="B69" s="2" t="inlineStr">
        <is>
          <t xml:space="preserve">Risk Matrix</t>
        </is>
      </c>
      <c r="C69" s="2" t="inlineStr">
        <is>
          <t xml:space="preserve">Risk and Activity Matrix › Collapse and expand groups</t>
        </is>
      </c>
      <c r="D69" s="2" t="inlineStr">
        <is>
          <t xml:space="preserve">Groups collapse individually or all at once and keep their state across paging.</t>
        </is>
      </c>
      <c r="E69" s="2" t="inlineStr">
        <is>
          <t xml:space="preserve">Not set</t>
        </is>
      </c>
      <c r="F69" s="2" t="inlineStr">
        <is>
          <t xml:space="preserve">Not tested</t>
        </is>
      </c>
      <c r="G69" s="2" t="inlineStr">
        <is>
          <t xml:space="preserve">Pending</t>
        </is>
      </c>
      <c r="H69" s="2" t="inlineStr">
        <is>
          <t xml:space="preserve"/>
        </is>
      </c>
      <c r="I69" s="2" t="inlineStr">
        <is>
          <t xml:space="preserve"/>
        </is>
      </c>
      <c r="J69" s="2" t="inlineStr">
        <is>
          <t xml:space="preserve"/>
        </is>
      </c>
      <c r="K69" s="2" t="inlineStr">
        <is>
          <t xml:space="preserve"/>
        </is>
      </c>
      <c r="L69" s="2" t="inlineStr">
        <is>
          <t xml:space="preserve"/>
        </is>
      </c>
      <c r="M69" s="2" t="inlineStr">
        <is>
          <t xml:space="preserve"/>
        </is>
      </c>
      <c r="N69" s="2" t="inlineStr">
        <is>
          <t xml:space="preserve"/>
        </is>
      </c>
      <c r="O69" s="2" t="inlineStr">
        <is>
          <t xml:space="preserve"/>
        </is>
      </c>
      <c r="P69" s="2" t="inlineStr">
        <is>
          <t xml:space="preserve">docs/features/SOD.md; frontend/tests/sod-matrix-grouping.spec.ts</t>
        </is>
      </c>
      <c r="Q69" s="2" t="inlineStr">
        <is>
          <t xml:space="preserve">Not assessed</t>
        </is>
      </c>
      <c r="R69" s="2" t="inlineStr">
        <is>
          <t xml:space="preserve">Unclassified</t>
        </is>
      </c>
      <c r="S69" s="2" t="inlineStr">
        <is>
          <t xml:space="preserve">Not started</t>
        </is>
      </c>
    </row>
    <row r="70">
      <c r="A70" s="2" t="inlineStr">
        <is>
          <t xml:space="preserve">SODM-005</t>
        </is>
      </c>
      <c r="B70" s="2" t="inlineStr">
        <is>
          <t xml:space="preserve">Risk Matrix</t>
        </is>
      </c>
      <c r="C70" s="2" t="inlineStr">
        <is>
          <t xml:space="preserve">Risk and Activity Matrix › Paging with grouping</t>
        </is>
      </c>
      <c r="D70" s="2" t="inlineStr">
        <is>
          <t xml:space="preserve">Paging counts users, group totals cover the whole filtered scope and a continued group is marked.</t>
        </is>
      </c>
      <c r="E70" s="2" t="inlineStr">
        <is>
          <t xml:space="preserve">Not set</t>
        </is>
      </c>
      <c r="F70" s="2" t="inlineStr">
        <is>
          <t xml:space="preserve">Not tested</t>
        </is>
      </c>
      <c r="G70" s="2" t="inlineStr">
        <is>
          <t xml:space="preserve">Pending</t>
        </is>
      </c>
      <c r="H70" s="2" t="inlineStr">
        <is>
          <t xml:space="preserve"/>
        </is>
      </c>
      <c r="I70" s="2" t="inlineStr">
        <is>
          <t xml:space="preserve"/>
        </is>
      </c>
      <c r="J70" s="2" t="inlineStr">
        <is>
          <t xml:space="preserve"/>
        </is>
      </c>
      <c r="K70" s="2" t="inlineStr">
        <is>
          <t xml:space="preserve"/>
        </is>
      </c>
      <c r="L70" s="2" t="inlineStr">
        <is>
          <t xml:space="preserve"/>
        </is>
      </c>
      <c r="M70" s="2" t="inlineStr">
        <is>
          <t xml:space="preserve"/>
        </is>
      </c>
      <c r="N70" s="2" t="inlineStr">
        <is>
          <t xml:space="preserve"/>
        </is>
      </c>
      <c r="O70" s="2" t="inlineStr">
        <is>
          <t xml:space="preserve"/>
        </is>
      </c>
      <c r="P70" s="2" t="inlineStr">
        <is>
          <t xml:space="preserve">docs/features/SOD.md; frontend/tests/sod-matrix-grouping.spec.ts</t>
        </is>
      </c>
      <c r="Q70" s="2" t="inlineStr">
        <is>
          <t xml:space="preserve">Not assessed</t>
        </is>
      </c>
      <c r="R70" s="2" t="inlineStr">
        <is>
          <t xml:space="preserve">Unclassified</t>
        </is>
      </c>
      <c r="S70" s="2" t="inlineStr">
        <is>
          <t xml:space="preserve">Not started</t>
        </is>
      </c>
    </row>
    <row r="71">
      <c r="A71" s="2" t="inlineStr">
        <is>
          <t xml:space="preserve">SODM-006</t>
        </is>
      </c>
      <c r="B71" s="2" t="inlineStr">
        <is>
          <t xml:space="preserve">Risk Matrix</t>
        </is>
      </c>
      <c r="C71" s="2" t="inlineStr">
        <is>
          <t xml:space="preserve">Risk and Activity Matrix › SAP User Group multi-select</t>
        </is>
      </c>
      <c r="D71" s="2" t="inlineStr">
        <is>
          <t xml:space="preserve">Several groups can be selected with the list open; works with grouping and other filters; saved filters load.</t>
        </is>
      </c>
      <c r="E71" s="2" t="inlineStr">
        <is>
          <t xml:space="preserve">Not set</t>
        </is>
      </c>
      <c r="F71" s="2" t="inlineStr">
        <is>
          <t xml:space="preserve">Not tested</t>
        </is>
      </c>
      <c r="G71" s="2" t="inlineStr">
        <is>
          <t xml:space="preserve">Pending</t>
        </is>
      </c>
      <c r="H71" s="2" t="inlineStr">
        <is>
          <t xml:space="preserve"/>
        </is>
      </c>
      <c r="I71" s="2" t="inlineStr">
        <is>
          <t xml:space="preserve"/>
        </is>
      </c>
      <c r="J71" s="2" t="inlineStr">
        <is>
          <t xml:space="preserve"/>
        </is>
      </c>
      <c r="K71" s="2" t="inlineStr">
        <is>
          <t xml:space="preserve"/>
        </is>
      </c>
      <c r="L71" s="2" t="inlineStr">
        <is>
          <t xml:space="preserve"/>
        </is>
      </c>
      <c r="M71" s="2" t="inlineStr">
        <is>
          <t xml:space="preserve"/>
        </is>
      </c>
      <c r="N71" s="2" t="inlineStr">
        <is>
          <t xml:space="preserve"/>
        </is>
      </c>
      <c r="O71" s="2" t="inlineStr">
        <is>
          <t xml:space="preserve"/>
        </is>
      </c>
      <c r="P71" s="2" t="inlineStr">
        <is>
          <t xml:space="preserve">docs/features/SOD.md; frontend/tests/sod-matrix-grouping.spec.ts</t>
        </is>
      </c>
      <c r="Q71" s="2" t="inlineStr">
        <is>
          <t xml:space="preserve">Not assessed</t>
        </is>
      </c>
      <c r="R71" s="2" t="inlineStr">
        <is>
          <t xml:space="preserve">Unclassified</t>
        </is>
      </c>
      <c r="S71" s="2" t="inlineStr">
        <is>
          <t xml:space="preserve">Not started</t>
        </is>
      </c>
    </row>
    <row r="72">
      <c r="A72" s="2" t="inlineStr">
        <is>
          <t xml:space="preserve">SODM-007</t>
        </is>
      </c>
      <c r="B72" s="2" t="inlineStr">
        <is>
          <t xml:space="preserve">Risk Matrix</t>
        </is>
      </c>
      <c r="C72" s="2" t="inlineStr">
        <is>
          <t xml:space="preserve">Risk and Activity Matrix › Status tiles</t>
        </is>
      </c>
      <c r="D72" s="2" t="inlineStr">
        <is>
          <t xml:space="preserve">Tiles filter by review status, combine with sidebar filters and reset together.</t>
        </is>
      </c>
      <c r="E72" s="2" t="inlineStr">
        <is>
          <t xml:space="preserve">Not set</t>
        </is>
      </c>
      <c r="F72" s="2" t="inlineStr">
        <is>
          <t xml:space="preserve">Not tested</t>
        </is>
      </c>
      <c r="G72" s="2" t="inlineStr">
        <is>
          <t xml:space="preserve">Pending</t>
        </is>
      </c>
      <c r="H72" s="2" t="inlineStr">
        <is>
          <t xml:space="preserve"/>
        </is>
      </c>
      <c r="I72" s="2" t="inlineStr">
        <is>
          <t xml:space="preserve"/>
        </is>
      </c>
      <c r="J72" s="2" t="inlineStr">
        <is>
          <t xml:space="preserve"/>
        </is>
      </c>
      <c r="K72" s="2" t="inlineStr">
        <is>
          <t xml:space="preserve"/>
        </is>
      </c>
      <c r="L72" s="2" t="inlineStr">
        <is>
          <t xml:space="preserve"/>
        </is>
      </c>
      <c r="M72" s="2" t="inlineStr">
        <is>
          <t xml:space="preserve"/>
        </is>
      </c>
      <c r="N72" s="2" t="inlineStr">
        <is>
          <t xml:space="preserve"/>
        </is>
      </c>
      <c r="O72" s="2" t="inlineStr">
        <is>
          <t xml:space="preserve"/>
        </is>
      </c>
      <c r="P72" s="2" t="inlineStr">
        <is>
          <t xml:space="preserve">docs/features/SOD.md; frontend/tests/sod-filters-tiles.spec.ts</t>
        </is>
      </c>
      <c r="Q72" s="2" t="inlineStr">
        <is>
          <t xml:space="preserve">Not assessed</t>
        </is>
      </c>
      <c r="R72" s="2" t="inlineStr">
        <is>
          <t xml:space="preserve">Unclassified</t>
        </is>
      </c>
      <c r="S72" s="2" t="inlineStr">
        <is>
          <t xml:space="preserve">Not started</t>
        </is>
      </c>
    </row>
    <row r="73">
      <c r="A73" s="2" t="inlineStr">
        <is>
          <t xml:space="preserve">SODM-008</t>
        </is>
      </c>
      <c r="B73" s="2" t="inlineStr">
        <is>
          <t xml:space="preserve">Risk Matrix</t>
        </is>
      </c>
      <c r="C73" s="2" t="inlineStr">
        <is>
          <t xml:space="preserve">Risk and Activity Matrix › Cell investigation</t>
        </is>
      </c>
      <c r="D73" s="2" t="inlineStr">
        <is>
          <t xml:space="preserve">Cells open the investigation; arrow keys, Home and End move between detected cells.</t>
        </is>
      </c>
      <c r="E73" s="2" t="inlineStr">
        <is>
          <t xml:space="preserve">Not set</t>
        </is>
      </c>
      <c r="F73" s="2" t="inlineStr">
        <is>
          <t xml:space="preserve">Not tested</t>
        </is>
      </c>
      <c r="G73" s="2" t="inlineStr">
        <is>
          <t xml:space="preserve">Pending</t>
        </is>
      </c>
      <c r="H73" s="2" t="inlineStr">
        <is>
          <t xml:space="preserve"/>
        </is>
      </c>
      <c r="I73" s="2" t="inlineStr">
        <is>
          <t xml:space="preserve"/>
        </is>
      </c>
      <c r="J73" s="2" t="inlineStr">
        <is>
          <t xml:space="preserve"/>
        </is>
      </c>
      <c r="K73" s="2" t="inlineStr">
        <is>
          <t xml:space="preserve"/>
        </is>
      </c>
      <c r="L73" s="2" t="inlineStr">
        <is>
          <t xml:space="preserve"/>
        </is>
      </c>
      <c r="M73" s="2" t="inlineStr">
        <is>
          <t xml:space="preserve"/>
        </is>
      </c>
      <c r="N73" s="2" t="inlineStr">
        <is>
          <t xml:space="preserve"/>
        </is>
      </c>
      <c r="O73" s="2" t="inlineStr">
        <is>
          <t xml:space="preserve"/>
        </is>
      </c>
      <c r="P73" s="2" t="inlineStr">
        <is>
          <t xml:space="preserve">docs/features/SOD.md; frontend/tests/sod-governance.spec.ts</t>
        </is>
      </c>
      <c r="Q73" s="2" t="inlineStr">
        <is>
          <t xml:space="preserve">Not assessed</t>
        </is>
      </c>
      <c r="R73" s="2" t="inlineStr">
        <is>
          <t xml:space="preserve">Unclassified</t>
        </is>
      </c>
      <c r="S73" s="2" t="inlineStr">
        <is>
          <t xml:space="preserve">Not started</t>
        </is>
      </c>
    </row>
    <row r="74">
      <c r="A74" s="2" t="inlineStr">
        <is>
          <t xml:space="preserve">SODM-009</t>
        </is>
      </c>
      <c r="B74" s="2" t="inlineStr">
        <is>
          <t xml:space="preserve">Risk Matrix</t>
        </is>
      </c>
      <c r="C74" s="2" t="inlineStr">
        <is>
          <t xml:space="preserve">Risk and Activity Matrix › Export scope</t>
        </is>
      </c>
      <c r="D74" s="2" t="inlineStr">
        <is>
          <t xml:space="preserve">Matrix CSV export follows the active filters and is identical with and without grouping.</t>
        </is>
      </c>
      <c r="E74" s="2" t="inlineStr">
        <is>
          <t xml:space="preserve">Not set</t>
        </is>
      </c>
      <c r="F74" s="2" t="inlineStr">
        <is>
          <t xml:space="preserve">Not tested</t>
        </is>
      </c>
      <c r="G74" s="2" t="inlineStr">
        <is>
          <t xml:space="preserve">Pending</t>
        </is>
      </c>
      <c r="H74" s="2" t="inlineStr">
        <is>
          <t xml:space="preserve"/>
        </is>
      </c>
      <c r="I74" s="2" t="inlineStr">
        <is>
          <t xml:space="preserve"/>
        </is>
      </c>
      <c r="J74" s="2" t="inlineStr">
        <is>
          <t xml:space="preserve"/>
        </is>
      </c>
      <c r="K74" s="2" t="inlineStr">
        <is>
          <t xml:space="preserve"/>
        </is>
      </c>
      <c r="L74" s="2" t="inlineStr">
        <is>
          <t xml:space="preserve"/>
        </is>
      </c>
      <c r="M74" s="2" t="inlineStr">
        <is>
          <t xml:space="preserve"/>
        </is>
      </c>
      <c r="N74" s="2" t="inlineStr">
        <is>
          <t xml:space="preserve"/>
        </is>
      </c>
      <c r="O74" s="2" t="inlineStr">
        <is>
          <t xml:space="preserve"/>
        </is>
      </c>
      <c r="P74" s="2" t="inlineStr">
        <is>
          <t xml:space="preserve">docs/features/SOD.md; frontend/tests/sod-matrix-grouping.spec.ts, frontend/tests/sod-export-ux.spec.ts</t>
        </is>
      </c>
      <c r="Q74" s="2" t="inlineStr">
        <is>
          <t xml:space="preserve">Not assessed</t>
        </is>
      </c>
      <c r="R74" s="2" t="inlineStr">
        <is>
          <t xml:space="preserve">Unclassified</t>
        </is>
      </c>
      <c r="S74" s="2" t="inlineStr">
        <is>
          <t xml:space="preserve">Not started</t>
        </is>
      </c>
    </row>
    <row r="75">
      <c r="A75" s="2" t="inlineStr">
        <is>
          <t xml:space="preserve">SODM-010</t>
        </is>
      </c>
      <c r="B75" s="2" t="inlineStr">
        <is>
          <t xml:space="preserve">Risk Matrix</t>
        </is>
      </c>
      <c r="C75" s="2" t="inlineStr">
        <is>
          <t xml:space="preserve">Risk and Activity Matrix › Decisions preserved</t>
        </is>
      </c>
      <c r="D75" s="2" t="inlineStr">
        <is>
          <t xml:space="preserve">Review decisions look the same in grouped and plain views and are never changed by grouping.</t>
        </is>
      </c>
      <c r="E75" s="2" t="inlineStr">
        <is>
          <t xml:space="preserve">Not set</t>
        </is>
      </c>
      <c r="F75" s="2" t="inlineStr">
        <is>
          <t xml:space="preserve">Not tested</t>
        </is>
      </c>
      <c r="G75" s="2" t="inlineStr">
        <is>
          <t xml:space="preserve">Pending</t>
        </is>
      </c>
      <c r="H75" s="2" t="inlineStr">
        <is>
          <t xml:space="preserve"/>
        </is>
      </c>
      <c r="I75" s="2" t="inlineStr">
        <is>
          <t xml:space="preserve"/>
        </is>
      </c>
      <c r="J75" s="2" t="inlineStr">
        <is>
          <t xml:space="preserve"/>
        </is>
      </c>
      <c r="K75" s="2" t="inlineStr">
        <is>
          <t xml:space="preserve"/>
        </is>
      </c>
      <c r="L75" s="2" t="inlineStr">
        <is>
          <t xml:space="preserve"/>
        </is>
      </c>
      <c r="M75" s="2" t="inlineStr">
        <is>
          <t xml:space="preserve"/>
        </is>
      </c>
      <c r="N75" s="2" t="inlineStr">
        <is>
          <t xml:space="preserve"/>
        </is>
      </c>
      <c r="O75" s="2" t="inlineStr">
        <is>
          <t xml:space="preserve"/>
        </is>
      </c>
      <c r="P75" s="2" t="inlineStr">
        <is>
          <t xml:space="preserve">docs/features/SOD.md; frontend/tests/sod-matrix-grouping.spec.ts</t>
        </is>
      </c>
      <c r="Q75" s="2" t="inlineStr">
        <is>
          <t xml:space="preserve">Not assessed</t>
        </is>
      </c>
      <c r="R75" s="2" t="inlineStr">
        <is>
          <t xml:space="preserve">Unclassified</t>
        </is>
      </c>
      <c r="S75" s="2" t="inlineStr">
        <is>
          <t xml:space="preserve">Not started</t>
        </is>
      </c>
    </row>
    <row r="76">
      <c r="A76" s="2" t="inlineStr">
        <is>
          <t xml:space="preserve">SODM-011</t>
        </is>
      </c>
      <c r="B76" s="2" t="inlineStr">
        <is>
          <t xml:space="preserve">Risk Matrix</t>
        </is>
      </c>
      <c r="C76" s="2" t="inlineStr">
        <is>
          <t xml:space="preserve">Risk and Activity Matrix › Wide matrices</t>
        </is>
      </c>
      <c r="D76" s="2" t="inlineStr">
        <is>
          <t xml:space="preserve">Columns beyond 48 are windowed without losing keyboard navigation or scroll position.</t>
        </is>
      </c>
      <c r="E76" s="2" t="inlineStr">
        <is>
          <t xml:space="preserve">Not set</t>
        </is>
      </c>
      <c r="F76" s="2" t="inlineStr">
        <is>
          <t xml:space="preserve">Not tested</t>
        </is>
      </c>
      <c r="G76" s="2" t="inlineStr">
        <is>
          <t xml:space="preserve">Pending</t>
        </is>
      </c>
      <c r="H76" s="2" t="inlineStr">
        <is>
          <t xml:space="preserve"/>
        </is>
      </c>
      <c r="I76" s="2" t="inlineStr">
        <is>
          <t xml:space="preserve"/>
        </is>
      </c>
      <c r="J76" s="2" t="inlineStr">
        <is>
          <t xml:space="preserve"/>
        </is>
      </c>
      <c r="K76" s="2" t="inlineStr">
        <is>
          <t xml:space="preserve"/>
        </is>
      </c>
      <c r="L76" s="2" t="inlineStr">
        <is>
          <t xml:space="preserve"/>
        </is>
      </c>
      <c r="M76" s="2" t="inlineStr">
        <is>
          <t xml:space="preserve"/>
        </is>
      </c>
      <c r="N76" s="2" t="inlineStr">
        <is>
          <t xml:space="preserve"/>
        </is>
      </c>
      <c r="O76" s="2" t="inlineStr">
        <is>
          <t xml:space="preserve"/>
        </is>
      </c>
      <c r="P76" s="2" t="inlineStr">
        <is>
          <t xml:space="preserve">docs/features/SOD.md; frontend/tests/sod-layout.spec.ts</t>
        </is>
      </c>
      <c r="Q76" s="2" t="inlineStr">
        <is>
          <t xml:space="preserve">Not assessed</t>
        </is>
      </c>
      <c r="R76" s="2" t="inlineStr">
        <is>
          <t xml:space="preserve">Unclassified</t>
        </is>
      </c>
      <c r="S76" s="2" t="inlineStr">
        <is>
          <t xml:space="preserve">Not started</t>
        </is>
      </c>
    </row>
    <row r="77">
      <c r="A77" s="2" t="inlineStr">
        <is>
          <t xml:space="preserve">SODM-012</t>
        </is>
      </c>
      <c r="B77" s="2" t="inlineStr">
        <is>
          <t xml:space="preserve">Risk Matrix</t>
        </is>
      </c>
      <c r="C77" s="2" t="inlineStr">
        <is>
          <t xml:space="preserve">Risk and Activity Matrix › User identity column and grouping (completion)</t>
        </is>
      </c>
      <c r="D77" s="2" t="inlineStr">
        <is>
          <t xml:space="preserve">The first column is a compact, sticky copyable username on one line (the SAP User Group has its own column, see SODM-016); Group by (No grouping default, SAP User Group) gives collapsible groups with distinct user and finding counts, each user once, compatible with sorting, filtering, paging and multi-select group filtering.</t>
        </is>
      </c>
      <c r="E77" s="2" t="inlineStr">
        <is>
          <t xml:space="preserve">Not set</t>
        </is>
      </c>
      <c r="F77" s="2" t="inlineStr">
        <is>
          <t xml:space="preserve">Not tested</t>
        </is>
      </c>
      <c r="G77" s="2" t="inlineStr">
        <is>
          <t xml:space="preserve">Pending</t>
        </is>
      </c>
      <c r="H77" s="2" t="inlineStr">
        <is>
          <t xml:space="preserve">frontend/tests/sod-matrix-grouping.spec.ts; backend/tests/test_sod_governance.py</t>
        </is>
      </c>
      <c r="I77" s="2" t="inlineStr">
        <is>
          <t xml:space="preserve"/>
        </is>
      </c>
      <c r="J77" s="2" t="inlineStr">
        <is>
          <t xml:space="preserve"/>
        </is>
      </c>
      <c r="K77" s="2" t="inlineStr">
        <is>
          <t xml:space="preserve"/>
        </is>
      </c>
      <c r="L77" s="2" t="inlineStr">
        <is>
          <t xml:space="preserve"/>
        </is>
      </c>
      <c r="M77" s="2" t="inlineStr">
        <is>
          <t xml:space="preserve"/>
        </is>
      </c>
      <c r="N77" s="2" t="inlineStr">
        <is>
          <t xml:space="preserve"/>
        </is>
      </c>
      <c r="O77" s="2" t="inlineStr">
        <is>
          <t xml:space="preserve"/>
        </is>
      </c>
      <c r="P77" s="2" t="inlineStr">
        <is>
          <t xml:space="preserve">frontend/src/components/Sod/SodMatrices.tsx; frontend/src/components/Shared/MatrixGrid.tsx; docs/features/SOD.md</t>
        </is>
      </c>
      <c r="Q77" s="2" t="inlineStr">
        <is>
          <t xml:space="preserve">Implemented</t>
        </is>
      </c>
      <c r="R77" s="2" t="inlineStr">
        <is>
          <t xml:space="preserve">Unclassified</t>
        </is>
      </c>
      <c r="S77" s="2" t="inlineStr">
        <is>
          <t xml:space="preserve">Not started</t>
        </is>
      </c>
    </row>
    <row r="78">
      <c r="A78" s="2" t="inlineStr">
        <is>
          <t xml:space="preserve">SODM-013</t>
        </is>
      </c>
      <c r="B78" s="2" t="inlineStr">
        <is>
          <t xml:space="preserve">Risk Matrix</t>
        </is>
      </c>
      <c r="C78" s="2" t="inlineStr">
        <is>
          <t xml:space="preserve">All SoD investigation pages › Shared SoD filter context</t>
        </is>
      </c>
      <c r="D78" s="2" t="inlineStr">
        <is>
          <t xml:space="preserve">SAP User Group, SAP username, risk, activity, transaction code, business area and assigned role follow the user across the SoD pages that offer them without an Apply step; unsupported selections stay stored; local filters stay independent; Clear page filters and Clear all SoD filters differ; the review context is separate.</t>
        </is>
      </c>
      <c r="E78" s="2" t="inlineStr">
        <is>
          <t xml:space="preserve">Not set</t>
        </is>
      </c>
      <c r="F78" s="2" t="inlineStr">
        <is>
          <t xml:space="preserve">Not tested</t>
        </is>
      </c>
      <c r="G78" s="2" t="inlineStr">
        <is>
          <t xml:space="preserve">Pending</t>
        </is>
      </c>
      <c r="H78" s="2" t="inlineStr">
        <is>
          <t xml:space="preserve">frontend/tests/sod-shared-filters.spec.ts</t>
        </is>
      </c>
      <c r="I78" s="2" t="inlineStr">
        <is>
          <t xml:space="preserve"/>
        </is>
      </c>
      <c r="J78" s="2" t="inlineStr">
        <is>
          <t xml:space="preserve"/>
        </is>
      </c>
      <c r="K78" s="2" t="inlineStr">
        <is>
          <t xml:space="preserve"/>
        </is>
      </c>
      <c r="L78" s="2" t="inlineStr">
        <is>
          <t xml:space="preserve"/>
        </is>
      </c>
      <c r="M78" s="2" t="inlineStr">
        <is>
          <t xml:space="preserve"/>
        </is>
      </c>
      <c r="N78" s="2" t="inlineStr">
        <is>
          <t xml:space="preserve"/>
        </is>
      </c>
      <c r="O78" s="2" t="inlineStr">
        <is>
          <t xml:space="preserve"/>
        </is>
      </c>
      <c r="P78" s="2" t="inlineStr">
        <is>
          <t xml:space="preserve">frontend/src/components/Sod/SodShared.tsx; docs/features/SOD.md</t>
        </is>
      </c>
      <c r="Q78" s="2" t="inlineStr">
        <is>
          <t xml:space="preserve">Implemented</t>
        </is>
      </c>
      <c r="R78" s="2" t="inlineStr">
        <is>
          <t xml:space="preserve">Unclassified</t>
        </is>
      </c>
      <c r="S78" s="2" t="inlineStr">
        <is>
          <t xml:space="preserve">Not started</t>
        </is>
      </c>
    </row>
    <row r="79">
      <c r="A79" s="2" t="inlineStr">
        <is>
          <t xml:space="preserve">SODM-014</t>
        </is>
      </c>
      <c r="B79" s="2" t="inlineStr">
        <is>
          <t xml:space="preserve">Risk Matrix</t>
        </is>
      </c>
      <c r="C79" s="2" t="inlineStr">
        <is>
          <t xml:space="preserve">Risk and Activity Matrix › Users per page</t>
        </is>
      </c>
      <c r="D79" s="2" t="inlineStr">
        <is>
          <t xml:space="preserve">A shared Users per page control (10, 25, 50, 100, All; default 50) sits in the matrix toolbar with the sort controls, shows a range such as 1–50 of 244 users with Previous and Next, and keeps its value when switching between Risk and Activity Matrix.</t>
        </is>
      </c>
      <c r="E79" s="2" t="inlineStr">
        <is>
          <t xml:space="preserve">Not set</t>
        </is>
      </c>
      <c r="F79" s="2" t="inlineStr">
        <is>
          <t xml:space="preserve">Not tested</t>
        </is>
      </c>
      <c r="G79" s="2" t="inlineStr">
        <is>
          <t xml:space="preserve">Pending</t>
        </is>
      </c>
      <c r="H79" s="2" t="inlineStr">
        <is>
          <t xml:space="preserve">frontend/tests/sod-matrix-paging.spec.ts; backend/tests/test_sod_governance.py</t>
        </is>
      </c>
      <c r="I79" s="2" t="inlineStr">
        <is>
          <t xml:space="preserve"/>
        </is>
      </c>
      <c r="J79" s="2" t="inlineStr">
        <is>
          <t xml:space="preserve"/>
        </is>
      </c>
      <c r="K79" s="2" t="inlineStr">
        <is>
          <t xml:space="preserve"/>
        </is>
      </c>
      <c r="L79" s="2" t="inlineStr">
        <is>
          <t xml:space="preserve"/>
        </is>
      </c>
      <c r="M79" s="2" t="inlineStr">
        <is>
          <t xml:space="preserve"/>
        </is>
      </c>
      <c r="N79" s="2" t="inlineStr">
        <is>
          <t xml:space="preserve"/>
        </is>
      </c>
      <c r="O79" s="2" t="inlineStr">
        <is>
          <t xml:space="preserve"/>
        </is>
      </c>
      <c r="P79" s="2" t="inlineStr">
        <is>
          <t xml:space="preserve">frontend/src/components/Sod/SodMatrices.tsx; docs/features/SOD.md</t>
        </is>
      </c>
      <c r="Q79" s="2" t="inlineStr">
        <is>
          <t xml:space="preserve">Implemented</t>
        </is>
      </c>
      <c r="R79" s="2" t="inlineStr">
        <is>
          <t xml:space="preserve">Unclassified</t>
        </is>
      </c>
      <c r="S79" s="2" t="inlineStr">
        <is>
          <t xml:space="preserve">Not started</t>
        </is>
      </c>
    </row>
    <row r="80">
      <c r="A80" s="2" t="inlineStr">
        <is>
          <t xml:space="preserve">SODM-015</t>
        </is>
      </c>
      <c r="B80" s="2" t="inlineStr">
        <is>
          <t xml:space="preserve">Risk Matrix</t>
        </is>
      </c>
      <c r="C80" s="2" t="inlineStr">
        <is>
          <t xml:space="preserve">Risk and Activity Matrix › Pagination scope</t>
        </is>
      </c>
      <c r="D80" s="2" t="inlineStr">
        <is>
          <t xml:space="preserve">Pages apply after all filters including the shared SoD filters; a filter or grouping change returns to page 1; grouped pages never repeat a user; All lists every matching user (up to 5000, with a notice beyond that); CSV exports contain every filtered user whatever the page size.</t>
        </is>
      </c>
      <c r="E80" s="2" t="inlineStr">
        <is>
          <t xml:space="preserve">Not set</t>
        </is>
      </c>
      <c r="F80" s="2" t="inlineStr">
        <is>
          <t xml:space="preserve">Not tested</t>
        </is>
      </c>
      <c r="G80" s="2" t="inlineStr">
        <is>
          <t xml:space="preserve">Pending</t>
        </is>
      </c>
      <c r="H80" s="2" t="inlineStr">
        <is>
          <t xml:space="preserve">frontend/tests/sod-matrix-paging.spec.ts; frontend/tests/sod-matrix-grouping.spec.ts</t>
        </is>
      </c>
      <c r="I80" s="2" t="inlineStr">
        <is>
          <t xml:space="preserve"/>
        </is>
      </c>
      <c r="J80" s="2" t="inlineStr">
        <is>
          <t xml:space="preserve"/>
        </is>
      </c>
      <c r="K80" s="2" t="inlineStr">
        <is>
          <t xml:space="preserve"/>
        </is>
      </c>
      <c r="L80" s="2" t="inlineStr">
        <is>
          <t xml:space="preserve"/>
        </is>
      </c>
      <c r="M80" s="2" t="inlineStr">
        <is>
          <t xml:space="preserve"/>
        </is>
      </c>
      <c r="N80" s="2" t="inlineStr">
        <is>
          <t xml:space="preserve"/>
        </is>
      </c>
      <c r="O80" s="2" t="inlineStr">
        <is>
          <t xml:space="preserve"/>
        </is>
      </c>
      <c r="P80" s="2" t="inlineStr">
        <is>
          <t xml:space="preserve">frontend/src/components/Sod/SodMatrices.tsx; backend/routers/sod_governance.py; docs/features/SOD.md</t>
        </is>
      </c>
      <c r="Q80" s="2" t="inlineStr">
        <is>
          <t xml:space="preserve">Implemented</t>
        </is>
      </c>
      <c r="R80" s="2" t="inlineStr">
        <is>
          <t xml:space="preserve">Unclassified</t>
        </is>
      </c>
      <c r="S80" s="2" t="inlineStr">
        <is>
          <t xml:space="preserve">Not started</t>
        </is>
      </c>
    </row>
    <row r="81">
      <c r="A81" s="2" t="inlineStr">
        <is>
          <t xml:space="preserve">SODM-016</t>
        </is>
      </c>
      <c r="B81" s="2" t="inlineStr">
        <is>
          <t xml:space="preserve">Risk Matrix</t>
        </is>
      </c>
      <c r="C81" s="2" t="inlineStr">
        <is>
          <t xml:space="preserve">Risk and Activity Matrix › SAP User Group column</t>
        </is>
      </c>
      <c r="D81" s="2" t="inlineStr">
        <is>
          <t xml:space="preserve">The SAP username is one line; a dedicated SAP User Group column follows it (pinned with it above 640 px), is hidden when grouped by SAP User Group, shows a dash for a missing group, and the matrix sorts by group with missing groups last. Filters, page size, pagination and exports are unchanged.</t>
        </is>
      </c>
      <c r="E81" s="2" t="inlineStr">
        <is>
          <t xml:space="preserve">Not set</t>
        </is>
      </c>
      <c r="F81" s="2" t="inlineStr">
        <is>
          <t xml:space="preserve">Not tested</t>
        </is>
      </c>
      <c r="G81" s="2" t="inlineStr">
        <is>
          <t xml:space="preserve">Pending</t>
        </is>
      </c>
      <c r="H81" s="2" t="inlineStr">
        <is>
          <t xml:space="preserve">frontend/tests/sod-user-group-column.spec.ts; frontend/tests/sod-matrix-grouping.spec.ts; backend/tests/test_sod_governance.py</t>
        </is>
      </c>
      <c r="I81" s="2" t="inlineStr">
        <is>
          <t xml:space="preserve"/>
        </is>
      </c>
      <c r="J81" s="2" t="inlineStr">
        <is>
          <t xml:space="preserve"/>
        </is>
      </c>
      <c r="K81" s="2" t="inlineStr">
        <is>
          <t xml:space="preserve">Checked visually in light and dark at 1280 and 375 px.</t>
        </is>
      </c>
      <c r="L81" s="2" t="inlineStr">
        <is>
          <t xml:space="preserve"/>
        </is>
      </c>
      <c r="M81" s="2" t="inlineStr">
        <is>
          <t xml:space="preserve"/>
        </is>
      </c>
      <c r="N81" s="2" t="inlineStr">
        <is>
          <t xml:space="preserve">Look at both matrices in both themes: one-line usernames, aligned group column, sticky columns, narrow screens.</t>
        </is>
      </c>
      <c r="O81" s="2" t="inlineStr">
        <is>
          <t xml:space="preserve">Below 640 px the group column scrolls away while the username stays pinned.</t>
        </is>
      </c>
      <c r="P81" s="2" t="inlineStr">
        <is>
          <t xml:space="preserve">frontend/src/components/Shared/MatrixGrid.tsx; frontend/src/components/Shared/UserGroup.tsx; frontend/src/components/Sod/SodMatrices.tsx; backend/routers/sod_governance.py</t>
        </is>
      </c>
      <c r="Q81" s="2" t="inlineStr">
        <is>
          <t xml:space="preserve">Implemented</t>
        </is>
      </c>
      <c r="R81" s="2" t="inlineStr">
        <is>
          <t xml:space="preserve">Unclassified</t>
        </is>
      </c>
      <c r="S81" s="2" t="inlineStr">
        <is>
          <t xml:space="preserve">Not started</t>
        </is>
      </c>
    </row>
    <row r="82">
      <c r="A82" s="2" t="inlineStr">
        <is>
          <t xml:space="preserve">SODM-017</t>
        </is>
      </c>
      <c r="B82" s="2" t="inlineStr">
        <is>
          <t xml:space="preserve">Risk Matrix</t>
        </is>
      </c>
      <c r="C82" s="2" t="inlineStr">
        <is>
          <t xml:space="preserve">Matrices, Explorer, Reviews, investigations › Risk and activity pill descriptions</t>
        </is>
      </c>
      <c r="D82" s="2" t="inlineStr">
        <is>
          <t xml:space="preserve">Pills keep their colors, show identifier, name and a concise description on hover, and open a detail popover (keyboard operable, Escape, focus returns) with each value marked imported or local; "No description available" when none exists; pills inside controls with their own action add no nested control.</t>
        </is>
      </c>
      <c r="E82" s="2" t="inlineStr">
        <is>
          <t xml:space="preserve">Not set</t>
        </is>
      </c>
      <c r="F82" s="2" t="inlineStr">
        <is>
          <t xml:space="preserve">Not tested</t>
        </is>
      </c>
      <c r="G82" s="2" t="inlineStr">
        <is>
          <t xml:space="preserve">Pending</t>
        </is>
      </c>
      <c r="H82" s="2" t="inlineStr">
        <is>
          <t xml:space="preserve">frontend/tests/sod-metadata.spec.ts</t>
        </is>
      </c>
      <c r="I82" s="2" t="inlineStr">
        <is>
          <t xml:space="preserve"/>
        </is>
      </c>
      <c r="J82" s="2" t="inlineStr">
        <is>
          <t xml:space="preserve"/>
        </is>
      </c>
      <c r="K82" s="2" t="inlineStr">
        <is>
          <t xml:space="preserve">Checked visually in light and dark; popover shown in Access Explorer.</t>
        </is>
      </c>
      <c r="L82" s="2" t="inlineStr">
        <is>
          <t xml:space="preserve"/>
        </is>
      </c>
      <c r="M82" s="2" t="inlineStr">
        <is>
          <t xml:space="preserve"/>
        </is>
      </c>
      <c r="N82" s="2" t="inlineStr">
        <is>
          <t xml:space="preserve">Hover and open pills in the matrices, Explorer, Reviews and investigations in both themes.</t>
        </is>
      </c>
      <c r="O82" s="2" t="inlineStr">
        <is>
          <t xml:space="preserve">Pills in Reports are not part of the interface (report rendering still reads the local catalogue).</t>
        </is>
      </c>
      <c r="P82" s="2" t="inlineStr">
        <is>
          <t xml:space="preserve">frontend/src/lib/sodAppearance.tsx; frontend/src/components/Shared/Popover.tsx; docs/features/SOD.md</t>
        </is>
      </c>
      <c r="Q82" s="2" t="inlineStr">
        <is>
          <t xml:space="preserve">Implemented</t>
        </is>
      </c>
      <c r="R82" s="2" t="inlineStr">
        <is>
          <t xml:space="preserve">Unclassified</t>
        </is>
      </c>
      <c r="S82" s="2" t="inlineStr">
        <is>
          <t xml:space="preserve">Not started</t>
        </is>
      </c>
    </row>
    <row r="83">
      <c r="A83" s="2" t="inlineStr">
        <is>
          <t xml:space="preserve">SODA-001</t>
        </is>
      </c>
      <c r="B83" s="2" t="inlineStr">
        <is>
          <t xml:space="preserve">Activity Matrix</t>
        </is>
      </c>
      <c r="C83" s="2" t="inlineStr">
        <is>
          <t xml:space="preserve">Activity Matrix › Cells</t>
        </is>
      </c>
      <c r="D83" s="2" t="inlineStr">
        <is>
          <t xml:space="preserve">Cells show the activity review status and the number of supplying roles (×roles); overlapping coverage is flagged; selecting a cell opens the investigation.</t>
        </is>
      </c>
      <c r="E83" s="2" t="inlineStr">
        <is>
          <t xml:space="preserve">Medium</t>
        </is>
      </c>
      <c r="F83" s="2" t="inlineStr">
        <is>
          <t xml:space="preserve">Not tested</t>
        </is>
      </c>
      <c r="G83" s="2" t="inlineStr">
        <is>
          <t xml:space="preserve">Pending</t>
        </is>
      </c>
      <c r="H83" s="2" t="inlineStr">
        <is>
          <t xml:space="preserve">frontend/tests/sod-governance.spec.ts; backend/tests/test_sod_governance.py</t>
        </is>
      </c>
      <c r="I83" s="2" t="inlineStr">
        <is>
          <t xml:space="preserve"/>
        </is>
      </c>
      <c r="J83" s="2" t="inlineStr">
        <is>
          <t xml:space="preserve"/>
        </is>
      </c>
      <c r="K83" s="2" t="inlineStr">
        <is>
          <t xml:space="preserve"/>
        </is>
      </c>
      <c r="L83" s="2" t="inlineStr">
        <is>
          <t xml:space="preserve"/>
        </is>
      </c>
      <c r="M83" s="2" t="inlineStr">
        <is>
          <t xml:space="preserve"/>
        </is>
      </c>
      <c r="N83" s="2" t="inlineStr">
        <is>
          <t xml:space="preserve">Open the Activity Matrix with duplicate role coverage and read the cells in both themes.</t>
        </is>
      </c>
      <c r="O83" s="2" t="inlineStr">
        <is>
          <t xml:space="preserve"/>
        </is>
      </c>
      <c r="P83" s="2" t="inlineStr">
        <is>
          <t xml:space="preserve">frontend/src/components/Sod/SodMatrices.tsx; docs/features/SOD.md</t>
        </is>
      </c>
      <c r="Q83" s="2" t="inlineStr">
        <is>
          <t xml:space="preserve">Implemented</t>
        </is>
      </c>
      <c r="R83" s="2" t="inlineStr">
        <is>
          <t xml:space="preserve">Unclassified</t>
        </is>
      </c>
      <c r="S83" s="2" t="inlineStr">
        <is>
          <t xml:space="preserve">Not started</t>
        </is>
      </c>
    </row>
    <row r="84">
      <c r="A84" s="2" t="inlineStr">
        <is>
          <t xml:space="preserve">SODA-002</t>
        </is>
      </c>
      <c r="B84" s="2" t="inlineStr">
        <is>
          <t xml:space="preserve">Activity Matrix</t>
        </is>
      </c>
      <c r="C84" s="2" t="inlineStr">
        <is>
          <t xml:space="preserve">Activity Matrix › Status tiles</t>
        </is>
      </c>
      <c r="D84" s="2" t="inlineStr">
        <is>
          <t xml:space="preserve">The status tiles (Pending, Approved, Conditional, Removal required, Outdated) count over the whole filtered matrix, toggle the matching filter and use the shared KPI tone mapping.</t>
        </is>
      </c>
      <c r="E84" s="2" t="inlineStr">
        <is>
          <t xml:space="preserve">Medium</t>
        </is>
      </c>
      <c r="F84" s="2" t="inlineStr">
        <is>
          <t xml:space="preserve">Not tested</t>
        </is>
      </c>
      <c r="G84" s="2" t="inlineStr">
        <is>
          <t xml:space="preserve">Pending</t>
        </is>
      </c>
      <c r="H84" s="2" t="inlineStr">
        <is>
          <t xml:space="preserve">frontend/tests/sod-filters-tiles.spec.ts; frontend/tests/kpi-semantic-tones.spec.ts</t>
        </is>
      </c>
      <c r="I84" s="2" t="inlineStr">
        <is>
          <t xml:space="preserve"/>
        </is>
      </c>
      <c r="J84" s="2" t="inlineStr">
        <is>
          <t xml:space="preserve"/>
        </is>
      </c>
      <c r="K84" s="2" t="inlineStr">
        <is>
          <t xml:space="preserve"/>
        </is>
      </c>
      <c r="L84" s="2" t="inlineStr">
        <is>
          <t xml:space="preserve"/>
        </is>
      </c>
      <c r="M84" s="2" t="inlineStr">
        <is>
          <t xml:space="preserve"/>
        </is>
      </c>
      <c r="N84" s="2" t="inlineStr">
        <is>
          <t xml:space="preserve">Select each tile and combine it with sidebar filters.</t>
        </is>
      </c>
      <c r="O84" s="2" t="inlineStr">
        <is>
          <t xml:space="preserve"/>
        </is>
      </c>
      <c r="P84" s="2" t="inlineStr">
        <is>
          <t xml:space="preserve">frontend/src/components/Sod/SodMatrices.tsx; frontend/src/lib/kpiTone.ts</t>
        </is>
      </c>
      <c r="Q84" s="2" t="inlineStr">
        <is>
          <t xml:space="preserve">Implemented</t>
        </is>
      </c>
      <c r="R84" s="2" t="inlineStr">
        <is>
          <t xml:space="preserve">Unclassified</t>
        </is>
      </c>
      <c r="S84" s="2" t="inlineStr">
        <is>
          <t xml:space="preserve">Not started</t>
        </is>
      </c>
    </row>
    <row r="85">
      <c r="A85" s="2" t="inlineStr">
        <is>
          <t xml:space="preserve">SODA-003</t>
        </is>
      </c>
      <c r="B85" s="2" t="inlineStr">
        <is>
          <t xml:space="preserve">Activity Matrix</t>
        </is>
      </c>
      <c r="C85" s="2" t="inlineStr">
        <is>
          <t xml:space="preserve">Activity Matrix › Scope and distinct counts</t>
        </is>
      </c>
      <c r="D85" s="2" t="inlineStr">
        <is>
          <t xml:space="preserve">Only activities that contribute to at least one potential conflict are listed; an activity shared by several risks counts once and totals count distinct users and user-activity pairs.</t>
        </is>
      </c>
      <c r="E85" s="2" t="inlineStr">
        <is>
          <t xml:space="preserve">High</t>
        </is>
      </c>
      <c r="F85" s="2" t="inlineStr">
        <is>
          <t xml:space="preserve">Not tested</t>
        </is>
      </c>
      <c r="G85" s="2" t="inlineStr">
        <is>
          <t xml:space="preserve">Pending</t>
        </is>
      </c>
      <c r="H85" s="2" t="inlineStr">
        <is>
          <t xml:space="preserve">backend/tests/test_sod_governance.py</t>
        </is>
      </c>
      <c r="I85" s="2" t="inlineStr">
        <is>
          <t xml:space="preserve"/>
        </is>
      </c>
      <c r="J85" s="2" t="inlineStr">
        <is>
          <t xml:space="preserve"/>
        </is>
      </c>
      <c r="K85" s="2" t="inlineStr">
        <is>
          <t xml:space="preserve"/>
        </is>
      </c>
      <c r="L85" s="2" t="inlineStr">
        <is>
          <t xml:space="preserve"/>
        </is>
      </c>
      <c r="M85" s="2" t="inlineStr">
        <is>
          <t xml:space="preserve"/>
        </is>
      </c>
      <c r="N85" s="2" t="inlineStr">
        <is>
          <t xml:space="preserve">Compare the totals with the Access Explorer user-activity table.</t>
        </is>
      </c>
      <c r="O85" s="2" t="inlineStr">
        <is>
          <t xml:space="preserve"/>
        </is>
      </c>
      <c r="P85" s="2" t="inlineStr">
        <is>
          <t xml:space="preserve">backend/sod_governance.py; docs/features/SOD.md</t>
        </is>
      </c>
      <c r="Q85" s="2" t="inlineStr">
        <is>
          <t xml:space="preserve">Implemented</t>
        </is>
      </c>
      <c r="R85" s="2" t="inlineStr">
        <is>
          <t xml:space="preserve">Unclassified</t>
        </is>
      </c>
      <c r="S85" s="2" t="inlineStr">
        <is>
          <t xml:space="preserve">Not started</t>
        </is>
      </c>
    </row>
    <row r="86">
      <c r="A86" s="2" t="inlineStr">
        <is>
          <t xml:space="preserve">SODA-004</t>
        </is>
      </c>
      <c r="B86" s="2" t="inlineStr">
        <is>
          <t xml:space="preserve">Activity Matrix</t>
        </is>
      </c>
      <c r="C86" s="2" t="inlineStr">
        <is>
          <t xml:space="preserve">Activity Matrix › Users per page, grouping and SAP User Group column</t>
        </is>
      </c>
      <c r="D86" s="2" t="inlineStr">
        <is>
          <t xml:space="preserve">Users per page (10, 25, 50, 100, All; default 50) is shared with the Risk Matrix, the SAP User Group column appears after SAP user and is hidden when grouped by SAP User Group, and sorting by group puts users without a group last.</t>
        </is>
      </c>
      <c r="E86" s="2" t="inlineStr">
        <is>
          <t xml:space="preserve">Medium</t>
        </is>
      </c>
      <c r="F86" s="2" t="inlineStr">
        <is>
          <t xml:space="preserve">Not tested</t>
        </is>
      </c>
      <c r="G86" s="2" t="inlineStr">
        <is>
          <t xml:space="preserve">Pending</t>
        </is>
      </c>
      <c r="H86" s="2" t="inlineStr">
        <is>
          <t xml:space="preserve">frontend/tests/sod-matrix-paging.spec.ts; frontend/tests/sod-user-group-column.spec.ts</t>
        </is>
      </c>
      <c r="I86" s="2" t="inlineStr">
        <is>
          <t xml:space="preserve"/>
        </is>
      </c>
      <c r="J86" s="2" t="inlineStr">
        <is>
          <t xml:space="preserve"/>
        </is>
      </c>
      <c r="K86" s="2" t="inlineStr">
        <is>
          <t xml:space="preserve"/>
        </is>
      </c>
      <c r="L86" s="2" t="inlineStr">
        <is>
          <t xml:space="preserve"/>
        </is>
      </c>
      <c r="M86" s="2" t="inlineStr">
        <is>
          <t xml:space="preserve"/>
        </is>
      </c>
      <c r="N86" s="2" t="inlineStr">
        <is>
          <t xml:space="preserve">Switch between both matrices and change page size, grouping and sort.</t>
        </is>
      </c>
      <c r="O86" s="2" t="inlineStr">
        <is>
          <t xml:space="preserve"/>
        </is>
      </c>
      <c r="P86" s="2" t="inlineStr">
        <is>
          <t xml:space="preserve">frontend/src/components/Sod/SodMatrices.tsx; frontend/src/components/Shared/MatrixGrid.tsx</t>
        </is>
      </c>
      <c r="Q86" s="2" t="inlineStr">
        <is>
          <t xml:space="preserve">Implemented</t>
        </is>
      </c>
      <c r="R86" s="2" t="inlineStr">
        <is>
          <t xml:space="preserve">Unclassified</t>
        </is>
      </c>
      <c r="S86" s="2" t="inlineStr">
        <is>
          <t xml:space="preserve">Not started</t>
        </is>
      </c>
    </row>
    <row r="87">
      <c r="A87" s="2" t="inlineStr">
        <is>
          <t xml:space="preserve">SODX-001</t>
        </is>
      </c>
      <c r="B87" s="2" t="inlineStr">
        <is>
          <t xml:space="preserve">Access Explorer</t>
        </is>
      </c>
      <c r="C87" s="2" t="inlineStr">
        <is>
          <t xml:space="preserve">Access Explorer › Tables</t>
        </is>
      </c>
      <c r="D87" s="2" t="inlineStr">
        <is>
          <t xml:space="preserve">User risk, user activity, access list and lookup tables show traceable rows with pagination and sorting.</t>
        </is>
      </c>
      <c r="E87" s="2" t="inlineStr">
        <is>
          <t xml:space="preserve">Not set</t>
        </is>
      </c>
      <c r="F87" s="2" t="inlineStr">
        <is>
          <t xml:space="preserve">Not tested</t>
        </is>
      </c>
      <c r="G87" s="2" t="inlineStr">
        <is>
          <t xml:space="preserve">Pending</t>
        </is>
      </c>
      <c r="H87" s="2" t="inlineStr">
        <is>
          <t xml:space="preserve"/>
        </is>
      </c>
      <c r="I87" s="2" t="inlineStr">
        <is>
          <t xml:space="preserve"/>
        </is>
      </c>
      <c r="J87" s="2" t="inlineStr">
        <is>
          <t xml:space="preserve"/>
        </is>
      </c>
      <c r="K87" s="2" t="inlineStr">
        <is>
          <t xml:space="preserve"/>
        </is>
      </c>
      <c r="L87" s="2" t="inlineStr">
        <is>
          <t xml:space="preserve"/>
        </is>
      </c>
      <c r="M87" s="2" t="inlineStr">
        <is>
          <t xml:space="preserve"/>
        </is>
      </c>
      <c r="N87" s="2" t="inlineStr">
        <is>
          <t xml:space="preserve"/>
        </is>
      </c>
      <c r="O87" s="2" t="inlineStr">
        <is>
          <t xml:space="preserve"/>
        </is>
      </c>
      <c r="P87" s="2" t="inlineStr">
        <is>
          <t xml:space="preserve">docs/features/SOD.md; frontend/tests/sod-analysis.spec.ts</t>
        </is>
      </c>
      <c r="Q87" s="2" t="inlineStr">
        <is>
          <t xml:space="preserve">Not assessed</t>
        </is>
      </c>
      <c r="R87" s="2" t="inlineStr">
        <is>
          <t xml:space="preserve">Unclassified</t>
        </is>
      </c>
      <c r="S87" s="2" t="inlineStr">
        <is>
          <t xml:space="preserve">Not started</t>
        </is>
      </c>
    </row>
    <row r="88">
      <c r="A88" s="2" t="inlineStr">
        <is>
          <t xml:space="preserve">SODX-002</t>
        </is>
      </c>
      <c r="B88" s="2" t="inlineStr">
        <is>
          <t xml:space="preserve">Access Explorer</t>
        </is>
      </c>
      <c r="C88" s="2" t="inlineStr">
        <is>
          <t xml:space="preserve">Access Explorer › Evidence modals</t>
        </is>
      </c>
      <c r="D88" s="2" t="inlineStr">
        <is>
          <t xml:space="preserve">Users and roles evidence open in wide modals with compact tables.</t>
        </is>
      </c>
      <c r="E88" s="2" t="inlineStr">
        <is>
          <t xml:space="preserve">Not set</t>
        </is>
      </c>
      <c r="F88" s="2" t="inlineStr">
        <is>
          <t xml:space="preserve">Not tested</t>
        </is>
      </c>
      <c r="G88" s="2" t="inlineStr">
        <is>
          <t xml:space="preserve">Pending</t>
        </is>
      </c>
      <c r="H88" s="2" t="inlineStr">
        <is>
          <t xml:space="preserve"/>
        </is>
      </c>
      <c r="I88" s="2" t="inlineStr">
        <is>
          <t xml:space="preserve"/>
        </is>
      </c>
      <c r="J88" s="2" t="inlineStr">
        <is>
          <t xml:space="preserve"/>
        </is>
      </c>
      <c r="K88" s="2" t="inlineStr">
        <is>
          <t xml:space="preserve"/>
        </is>
      </c>
      <c r="L88" s="2" t="inlineStr">
        <is>
          <t xml:space="preserve"/>
        </is>
      </c>
      <c r="M88" s="2" t="inlineStr">
        <is>
          <t xml:space="preserve"/>
        </is>
      </c>
      <c r="N88" s="2" t="inlineStr">
        <is>
          <t xml:space="preserve"/>
        </is>
      </c>
      <c r="O88" s="2" t="inlineStr">
        <is>
          <t xml:space="preserve"/>
        </is>
      </c>
      <c r="P88" s="2" t="inlineStr">
        <is>
          <t xml:space="preserve">docs/features/SOD.md; frontend/tests/sod-evidence-modals.spec.ts</t>
        </is>
      </c>
      <c r="Q88" s="2" t="inlineStr">
        <is>
          <t xml:space="preserve">Not assessed</t>
        </is>
      </c>
      <c r="R88" s="2" t="inlineStr">
        <is>
          <t xml:space="preserve">Unclassified</t>
        </is>
      </c>
      <c r="S88" s="2" t="inlineStr">
        <is>
          <t xml:space="preserve">Not started</t>
        </is>
      </c>
    </row>
    <row r="89">
      <c r="A89" s="2" t="inlineStr">
        <is>
          <t xml:space="preserve">SODX-003</t>
        </is>
      </c>
      <c r="B89" s="2" t="inlineStr">
        <is>
          <t xml:space="preserve">Access Explorer</t>
        </is>
      </c>
      <c r="C89" s="2" t="inlineStr">
        <is>
          <t xml:space="preserve">Access Explorer › Potential SoD evidence</t>
        </is>
      </c>
      <c r="D89" s="2" t="inlineStr">
        <is>
          <t xml:space="preserve">The dialog separates transactions, single roles, assigned roles, catalogue roles, validity and provenance for both activity sides.</t>
        </is>
      </c>
      <c r="E89" s="2" t="inlineStr">
        <is>
          <t xml:space="preserve">Not set</t>
        </is>
      </c>
      <c r="F89" s="2" t="inlineStr">
        <is>
          <t xml:space="preserve">Not tested</t>
        </is>
      </c>
      <c r="G89" s="2" t="inlineStr">
        <is>
          <t xml:space="preserve">Pending</t>
        </is>
      </c>
      <c r="H89" s="2" t="inlineStr">
        <is>
          <t xml:space="preserve"/>
        </is>
      </c>
      <c r="I89" s="2" t="inlineStr">
        <is>
          <t xml:space="preserve"/>
        </is>
      </c>
      <c r="J89" s="2" t="inlineStr">
        <is>
          <t xml:space="preserve"/>
        </is>
      </c>
      <c r="K89" s="2" t="inlineStr">
        <is>
          <t xml:space="preserve"/>
        </is>
      </c>
      <c r="L89" s="2" t="inlineStr">
        <is>
          <t xml:space="preserve"/>
        </is>
      </c>
      <c r="M89" s="2" t="inlineStr">
        <is>
          <t xml:space="preserve"/>
        </is>
      </c>
      <c r="N89" s="2" t="inlineStr">
        <is>
          <t xml:space="preserve"/>
        </is>
      </c>
      <c r="O89" s="2" t="inlineStr">
        <is>
          <t xml:space="preserve"/>
        </is>
      </c>
      <c r="P89" s="2" t="inlineStr">
        <is>
          <t xml:space="preserve">docs/features/SOD.md; frontend/tests/sod-evidence-modals.spec.ts</t>
        </is>
      </c>
      <c r="Q89" s="2" t="inlineStr">
        <is>
          <t xml:space="preserve">Not assessed</t>
        </is>
      </c>
      <c r="R89" s="2" t="inlineStr">
        <is>
          <t xml:space="preserve">Unclassified</t>
        </is>
      </c>
      <c r="S89" s="2" t="inlineStr">
        <is>
          <t xml:space="preserve">Not started</t>
        </is>
      </c>
    </row>
    <row r="90">
      <c r="A90" s="2" t="inlineStr">
        <is>
          <t xml:space="preserve">SODX-004</t>
        </is>
      </c>
      <c r="B90" s="2" t="inlineStr">
        <is>
          <t xml:space="preserve">Access Explorer</t>
        </is>
      </c>
      <c r="C90" s="2" t="inlineStr">
        <is>
          <t xml:space="preserve">Access Explorer › Filters</t>
        </is>
      </c>
      <c r="D90" s="2" t="inlineStr">
        <is>
          <t xml:space="preserve">Filters including Risks per user and assigned role compose and show active values.</t>
        </is>
      </c>
      <c r="E90" s="2" t="inlineStr">
        <is>
          <t xml:space="preserve">Not set</t>
        </is>
      </c>
      <c r="F90" s="2" t="inlineStr">
        <is>
          <t xml:space="preserve">Not tested</t>
        </is>
      </c>
      <c r="G90" s="2" t="inlineStr">
        <is>
          <t xml:space="preserve">Pending</t>
        </is>
      </c>
      <c r="H90" s="2" t="inlineStr">
        <is>
          <t xml:space="preserve"/>
        </is>
      </c>
      <c r="I90" s="2" t="inlineStr">
        <is>
          <t xml:space="preserve"/>
        </is>
      </c>
      <c r="J90" s="2" t="inlineStr">
        <is>
          <t xml:space="preserve"/>
        </is>
      </c>
      <c r="K90" s="2" t="inlineStr">
        <is>
          <t xml:space="preserve"/>
        </is>
      </c>
      <c r="L90" s="2" t="inlineStr">
        <is>
          <t xml:space="preserve"/>
        </is>
      </c>
      <c r="M90" s="2" t="inlineStr">
        <is>
          <t xml:space="preserve"/>
        </is>
      </c>
      <c r="N90" s="2" t="inlineStr">
        <is>
          <t xml:space="preserve"/>
        </is>
      </c>
      <c r="O90" s="2" t="inlineStr">
        <is>
          <t xml:space="preserve"/>
        </is>
      </c>
      <c r="P90" s="2" t="inlineStr">
        <is>
          <t xml:space="preserve">docs/features/SOD.md; frontend/tests/sod-overview-actionable.spec.ts, frontend/tests/sod-filters-tiles.spec.ts</t>
        </is>
      </c>
      <c r="Q90" s="2" t="inlineStr">
        <is>
          <t xml:space="preserve">Not assessed</t>
        </is>
      </c>
      <c r="R90" s="2" t="inlineStr">
        <is>
          <t xml:space="preserve">Unclassified</t>
        </is>
      </c>
      <c r="S90" s="2" t="inlineStr">
        <is>
          <t xml:space="preserve">Not started</t>
        </is>
      </c>
    </row>
    <row r="91">
      <c r="A91" s="2" t="inlineStr">
        <is>
          <t xml:space="preserve">SODX-005</t>
        </is>
      </c>
      <c r="B91" s="2" t="inlineStr">
        <is>
          <t xml:space="preserve">Access Explorer</t>
        </is>
      </c>
      <c r="C91" s="2" t="inlineStr">
        <is>
          <t xml:space="preserve">Access Explorer › Exports</t>
        </is>
      </c>
      <c r="D91" s="2" t="inlineStr">
        <is>
          <t xml:space="preserve">Exports contain every filtered row across pages.</t>
        </is>
      </c>
      <c r="E91" s="2" t="inlineStr">
        <is>
          <t xml:space="preserve">Not set</t>
        </is>
      </c>
      <c r="F91" s="2" t="inlineStr">
        <is>
          <t xml:space="preserve">Not tested</t>
        </is>
      </c>
      <c r="G91" s="2" t="inlineStr">
        <is>
          <t xml:space="preserve">Pending</t>
        </is>
      </c>
      <c r="H91" s="2" t="inlineStr">
        <is>
          <t xml:space="preserve"/>
        </is>
      </c>
      <c r="I91" s="2" t="inlineStr">
        <is>
          <t xml:space="preserve"/>
        </is>
      </c>
      <c r="J91" s="2" t="inlineStr">
        <is>
          <t xml:space="preserve"/>
        </is>
      </c>
      <c r="K91" s="2" t="inlineStr">
        <is>
          <t xml:space="preserve"/>
        </is>
      </c>
      <c r="L91" s="2" t="inlineStr">
        <is>
          <t xml:space="preserve"/>
        </is>
      </c>
      <c r="M91" s="2" t="inlineStr">
        <is>
          <t xml:space="preserve"/>
        </is>
      </c>
      <c r="N91" s="2" t="inlineStr">
        <is>
          <t xml:space="preserve"/>
        </is>
      </c>
      <c r="O91" s="2" t="inlineStr">
        <is>
          <t xml:space="preserve"/>
        </is>
      </c>
      <c r="P91" s="2" t="inlineStr">
        <is>
          <t xml:space="preserve">docs/features/SOD.md; frontend/tests/sod-export-ux.spec.ts</t>
        </is>
      </c>
      <c r="Q91" s="2" t="inlineStr">
        <is>
          <t xml:space="preserve">Not assessed</t>
        </is>
      </c>
      <c r="R91" s="2" t="inlineStr">
        <is>
          <t xml:space="preserve">Unclassified</t>
        </is>
      </c>
      <c r="S91" s="2" t="inlineStr">
        <is>
          <t xml:space="preserve">Not started</t>
        </is>
      </c>
    </row>
    <row r="92">
      <c r="A92" s="2" t="inlineStr">
        <is>
          <t xml:space="preserve">SODX-006</t>
        </is>
      </c>
      <c r="B92" s="2" t="inlineStr">
        <is>
          <t xml:space="preserve">Access Explorer</t>
        </is>
      </c>
      <c r="C92" s="2" t="inlineStr">
        <is>
          <t xml:space="preserve">Access Explorer › Navigation tab icons (R6 correction)</t>
        </is>
      </c>
      <c r="D92" s="2" t="inlineStr">
        <is>
          <t xml:space="preserve">Users, Assignments, Roles and Role conflicts show the users, list-checks, layers and shield-alert icons at the size of other secondary navigation, keep the active underline, keyboard navigation and focus ring, and selecting a tab shifts no layout.</t>
        </is>
      </c>
      <c r="E92" s="2" t="inlineStr">
        <is>
          <t xml:space="preserve">Not set</t>
        </is>
      </c>
      <c r="F92" s="2" t="inlineStr">
        <is>
          <t xml:space="preserve">Not tested</t>
        </is>
      </c>
      <c r="G92" s="2" t="inlineStr">
        <is>
          <t xml:space="preserve">Pending</t>
        </is>
      </c>
      <c r="H92" s="2" t="inlineStr">
        <is>
          <t xml:space="preserve">frontend/tests/secondary-navigation-icons.spec.ts (icons, 16 px, no background or side border, underline, keyboard, focus ring, no layout shift, light and dark at 375 and 1280 px)</t>
        </is>
      </c>
      <c r="I92" s="2" t="inlineStr">
        <is>
          <t xml:space="preserve"/>
        </is>
      </c>
      <c r="J92" s="2" t="inlineStr">
        <is>
          <t xml:space="preserve"/>
        </is>
      </c>
      <c r="K92" s="2" t="inlineStr">
        <is>
          <t xml:space="preserve">The User Access role sections also gained icons; tabs reserve the bold label width.</t>
        </is>
      </c>
      <c r="L92" s="2" t="inlineStr">
        <is>
          <t xml:space="preserve"/>
        </is>
      </c>
      <c r="M92" s="2" t="inlineStr">
        <is>
          <t xml:space="preserve"/>
        </is>
      </c>
      <c r="N92" s="2" t="inlineStr">
        <is>
          <t xml:space="preserve">Check the tabs and focus ring in both themes.</t>
        </is>
      </c>
      <c r="O92" s="2" t="inlineStr">
        <is>
          <t xml:space="preserve"/>
        </is>
      </c>
      <c r="P92" s="2" t="inlineStr">
        <is>
          <t xml:space="preserve">frontend/src/components/Sod/SodExplorer.tsx; frontend/src/components/Shared/Navigation.tsx; frontend/src/components/Access/UserAccess.tsx</t>
        </is>
      </c>
      <c r="Q92" s="2" t="inlineStr">
        <is>
          <t xml:space="preserve">Implemented</t>
        </is>
      </c>
      <c r="R92" s="2" t="inlineStr">
        <is>
          <t xml:space="preserve">Unclassified</t>
        </is>
      </c>
      <c r="S92" s="2" t="inlineStr">
        <is>
          <t xml:space="preserve">Not started</t>
        </is>
      </c>
    </row>
    <row r="93">
      <c r="A93" s="2" t="inlineStr">
        <is>
          <t xml:space="preserve">SODX-007</t>
        </is>
      </c>
      <c r="B93" s="2" t="inlineStr">
        <is>
          <t xml:space="preserve">Access Explorer</t>
        </is>
      </c>
      <c r="C93" s="2" t="inlineStr">
        <is>
          <t xml:space="preserve">Access Explorer › SAP User Group column</t>
        </is>
      </c>
      <c r="D93" s="2" t="inlineStr">
        <is>
          <t xml:space="preserve">Users (by risk and by activity) and Assignments show SAP user then SAP User Group; Roles and Role conflicts show no group because they aggregate users of different groups.</t>
        </is>
      </c>
      <c r="E93" s="2" t="inlineStr">
        <is>
          <t xml:space="preserve">Not set</t>
        </is>
      </c>
      <c r="F93" s="2" t="inlineStr">
        <is>
          <t xml:space="preserve">Not tested</t>
        </is>
      </c>
      <c r="G93" s="2" t="inlineStr">
        <is>
          <t xml:space="preserve">Pending</t>
        </is>
      </c>
      <c r="H93" s="2" t="inlineStr">
        <is>
          <t xml:space="preserve">frontend/tests/sod-user-group-column.spec.ts; frontend/tests/sod-bulk-review.spec.ts</t>
        </is>
      </c>
      <c r="I93" s="2" t="inlineStr">
        <is>
          <t xml:space="preserve"/>
        </is>
      </c>
      <c r="J93" s="2" t="inlineStr">
        <is>
          <t xml:space="preserve"/>
        </is>
      </c>
      <c r="K93" s="2" t="inlineStr">
        <is>
          <t xml:space="preserve">Column orders: SAP user, SAP User Group, Risk, Activities, Evidence, Risk acceptance, Open.</t>
        </is>
      </c>
      <c r="L93" s="2" t="inlineStr">
        <is>
          <t xml:space="preserve"/>
        </is>
      </c>
      <c r="M93" s="2" t="inlineStr">
        <is>
          <t xml:space="preserve"/>
        </is>
      </c>
      <c r="N93" s="2" t="inlineStr">
        <is>
          <t xml:space="preserve">Check the four tabs in both themes.</t>
        </is>
      </c>
      <c r="O93" s="2" t="inlineStr">
        <is>
          <t xml:space="preserve"/>
        </is>
      </c>
      <c r="P93" s="2" t="inlineStr">
        <is>
          <t xml:space="preserve">frontend/src/components/Sod/SodExplorer.tsx; frontend/src/components/Shared/UserGroup.tsx</t>
        </is>
      </c>
      <c r="Q93" s="2" t="inlineStr">
        <is>
          <t xml:space="preserve">Implemented</t>
        </is>
      </c>
      <c r="R93" s="2" t="inlineStr">
        <is>
          <t xml:space="preserve">Unclassified</t>
        </is>
      </c>
      <c r="S93" s="2" t="inlineStr">
        <is>
          <t xml:space="preserve">Not started</t>
        </is>
      </c>
    </row>
    <row r="94">
      <c r="A94" s="2" t="inlineStr">
        <is>
          <t xml:space="preserve">SODX-008</t>
        </is>
      </c>
      <c r="B94" s="2" t="inlineStr">
        <is>
          <t xml:space="preserve">Access Explorer</t>
        </is>
      </c>
      <c r="C94" s="2" t="inlineStr">
        <is>
          <t xml:space="preserve">Matrices, Explorer, Reviews exports › SAP User Group in CSV exports</t>
        </is>
      </c>
      <c r="D94" s="2" t="inlineStr">
        <is>
          <t xml:space="preserve">Explorer user-risk, user-activity and assignment exports, the review-queue export and the remediation export include the SAP User Group whatever the table shows, with the active filters and unpaged scope.</t>
        </is>
      </c>
      <c r="E94" s="2" t="inlineStr">
        <is>
          <t xml:space="preserve">Not set</t>
        </is>
      </c>
      <c r="F94" s="2" t="inlineStr">
        <is>
          <t xml:space="preserve">Not tested</t>
        </is>
      </c>
      <c r="G94" s="2" t="inlineStr">
        <is>
          <t xml:space="preserve">Pending</t>
        </is>
      </c>
      <c r="H94" s="2" t="inlineStr">
        <is>
          <t xml:space="preserve">backend/tests/test_sod_governance.py; frontend/tests/sod-user-group-column.spec.ts</t>
        </is>
      </c>
      <c r="I94" s="2" t="inlineStr">
        <is>
          <t xml:space="preserve"/>
        </is>
      </c>
      <c r="J94" s="2" t="inlineStr">
        <is>
          <t xml:space="preserve"/>
        </is>
      </c>
      <c r="K94" s="2" t="inlineStr">
        <is>
          <t xml:space="preserve">Added USER_GROUPS to user-activity and review-queue exports and USER_GROUP to the remediation export; other schemas unchanged.</t>
        </is>
      </c>
      <c r="L94" s="2" t="inlineStr">
        <is>
          <t xml:space="preserve"/>
        </is>
      </c>
      <c r="M94" s="2" t="inlineStr">
        <is>
          <t xml:space="preserve"/>
        </is>
      </c>
      <c r="N94" s="2" t="inlineStr">
        <is>
          <t xml:space="preserve">Open an exported file and check the group column.</t>
        </is>
      </c>
      <c r="O94" s="2" t="inlineStr">
        <is>
          <t xml:space="preserve"/>
        </is>
      </c>
      <c r="P94" s="2" t="inlineStr">
        <is>
          <t xml:space="preserve">backend/routers/sod_governance.py</t>
        </is>
      </c>
      <c r="Q94" s="2" t="inlineStr">
        <is>
          <t xml:space="preserve">Implemented</t>
        </is>
      </c>
      <c r="R94" s="2" t="inlineStr">
        <is>
          <t xml:space="preserve">Unclassified</t>
        </is>
      </c>
      <c r="S94" s="2" t="inlineStr">
        <is>
          <t xml:space="preserve">Not started</t>
        </is>
      </c>
    </row>
    <row r="95">
      <c r="A95" s="2" t="inlineStr">
        <is>
          <t xml:space="preserve">R7-05</t>
        </is>
      </c>
      <c r="B95" s="2" t="inlineStr">
        <is>
          <t xml:space="preserve">Access Explorer</t>
        </is>
      </c>
      <c r="C95" s="2" t="inlineStr">
        <is>
          <t xml:space="preserve">Access Explorer, Assignments › No redundant outer KPI container</t>
        </is>
      </c>
      <c r="D95" s="2" t="inlineStr">
        <is>
          <t xml:space="preserve">The status KPI tiles are independent bordered controls without an enclosing card, wrap naturally and do not overflow; counts, semantic colors and click-to-filter are unchanged.</t>
        </is>
      </c>
      <c r="E95" s="2" t="inlineStr">
        <is>
          <t xml:space="preserve">Not set</t>
        </is>
      </c>
      <c r="F95" s="2" t="inlineStr">
        <is>
          <t xml:space="preserve">Not tested</t>
        </is>
      </c>
      <c r="G95" s="2" t="inlineStr">
        <is>
          <t xml:space="preserve">Pending</t>
        </is>
      </c>
      <c r="H95" s="2" t="inlineStr">
        <is>
          <t xml:space="preserve">frontend/tests/sod-assignment-decisions.spec.ts</t>
        </is>
      </c>
      <c r="I95" s="2" t="inlineStr">
        <is>
          <t xml:space="preserve"/>
        </is>
      </c>
      <c r="J95" s="2" t="inlineStr">
        <is>
          <t xml:space="preserve"/>
        </is>
      </c>
      <c r="K95" s="2" t="inlineStr">
        <is>
          <t xml:space="preserve">Root cause: the section reused the Account Review card class (review-progress). Removed. Other SoD KPI groups were audited and carry no card.</t>
        </is>
      </c>
      <c r="L95" s="2" t="inlineStr">
        <is>
          <t xml:space="preserve"/>
        </is>
      </c>
      <c r="M95" s="2" t="inlineStr">
        <is>
          <t xml:space="preserve"/>
        </is>
      </c>
      <c r="N95" s="2" t="inlineStr">
        <is>
          <t xml:space="preserve">Check Assignments at 375 and 1280 px in both themes.</t>
        </is>
      </c>
      <c r="O95" s="2" t="inlineStr">
        <is>
          <t xml:space="preserve"/>
        </is>
      </c>
      <c r="P95" s="2" t="inlineStr">
        <is>
          <t xml:space="preserve">frontend/src/components/Sod/SodExplorer.tsx</t>
        </is>
      </c>
      <c r="Q95" s="2" t="inlineStr">
        <is>
          <t xml:space="preserve">Implemented</t>
        </is>
      </c>
      <c r="R95" s="2" t="inlineStr">
        <is>
          <t xml:space="preserve">Unclassified</t>
        </is>
      </c>
      <c r="S95" s="2" t="inlineStr">
        <is>
          <t xml:space="preserve">Not started</t>
        </is>
      </c>
    </row>
    <row r="96">
      <c r="A96" s="2" t="inlineStr">
        <is>
          <t xml:space="preserve">SODV-001</t>
        </is>
      </c>
      <c r="B96" s="2" t="inlineStr">
        <is>
          <t xml:space="preserve">SoD Reviews</t>
        </is>
      </c>
      <c r="C96" s="2" t="inlineStr">
        <is>
          <t xml:space="preserve">Reviews › Work queue</t>
        </is>
      </c>
      <c r="D96" s="2" t="inlineStr">
        <is>
          <t xml:space="preserve">The queue defaults to assignments needing attention with a progress strip and filterable states.</t>
        </is>
      </c>
      <c r="E96" s="2" t="inlineStr">
        <is>
          <t xml:space="preserve">Not set</t>
        </is>
      </c>
      <c r="F96" s="2" t="inlineStr">
        <is>
          <t xml:space="preserve">Not tested</t>
        </is>
      </c>
      <c r="G96" s="2" t="inlineStr">
        <is>
          <t xml:space="preserve">Pending</t>
        </is>
      </c>
      <c r="H96" s="2" t="inlineStr">
        <is>
          <t xml:space="preserve"/>
        </is>
      </c>
      <c r="I96" s="2" t="inlineStr">
        <is>
          <t xml:space="preserve"/>
        </is>
      </c>
      <c r="J96" s="2" t="inlineStr">
        <is>
          <t xml:space="preserve"/>
        </is>
      </c>
      <c r="K96" s="2" t="inlineStr">
        <is>
          <t xml:space="preserve"/>
        </is>
      </c>
      <c r="L96" s="2" t="inlineStr">
        <is>
          <t xml:space="preserve"/>
        </is>
      </c>
      <c r="M96" s="2" t="inlineStr">
        <is>
          <t xml:space="preserve"/>
        </is>
      </c>
      <c r="N96" s="2" t="inlineStr">
        <is>
          <t xml:space="preserve"/>
        </is>
      </c>
      <c r="O96" s="2" t="inlineStr">
        <is>
          <t xml:space="preserve"/>
        </is>
      </c>
      <c r="P96" s="2" t="inlineStr">
        <is>
          <t xml:space="preserve">docs/features/SOD.md; frontend/tests/sod-assignment-decisions.spec.ts</t>
        </is>
      </c>
      <c r="Q96" s="2" t="inlineStr">
        <is>
          <t xml:space="preserve">Not assessed</t>
        </is>
      </c>
      <c r="R96" s="2" t="inlineStr">
        <is>
          <t xml:space="preserve">Unclassified</t>
        </is>
      </c>
      <c r="S96" s="2" t="inlineStr">
        <is>
          <t xml:space="preserve">Not started</t>
        </is>
      </c>
    </row>
    <row r="97">
      <c r="A97" s="2" t="inlineStr">
        <is>
          <t xml:space="preserve">SODV-002</t>
        </is>
      </c>
      <c r="B97" s="2" t="inlineStr">
        <is>
          <t xml:space="preserve">SoD Reviews</t>
        </is>
      </c>
      <c r="C97" s="2" t="inlineStr">
        <is>
          <t xml:space="preserve">Reviews › Role assignment review</t>
        </is>
      </c>
      <c r="D97" s="2" t="inlineStr">
        <is>
          <t xml:space="preserve">Keep, Investigate and Recommend removal are separate decisions with justification and history.</t>
        </is>
      </c>
      <c r="E97" s="2" t="inlineStr">
        <is>
          <t xml:space="preserve">Not set</t>
        </is>
      </c>
      <c r="F97" s="2" t="inlineStr">
        <is>
          <t xml:space="preserve">Not tested</t>
        </is>
      </c>
      <c r="G97" s="2" t="inlineStr">
        <is>
          <t xml:space="preserve">Pending</t>
        </is>
      </c>
      <c r="H97" s="2" t="inlineStr">
        <is>
          <t xml:space="preserve"/>
        </is>
      </c>
      <c r="I97" s="2" t="inlineStr">
        <is>
          <t xml:space="preserve"/>
        </is>
      </c>
      <c r="J97" s="2" t="inlineStr">
        <is>
          <t xml:space="preserve"/>
        </is>
      </c>
      <c r="K97" s="2" t="inlineStr">
        <is>
          <t xml:space="preserve"/>
        </is>
      </c>
      <c r="L97" s="2" t="inlineStr">
        <is>
          <t xml:space="preserve"/>
        </is>
      </c>
      <c r="M97" s="2" t="inlineStr">
        <is>
          <t xml:space="preserve"/>
        </is>
      </c>
      <c r="N97" s="2" t="inlineStr">
        <is>
          <t xml:space="preserve"/>
        </is>
      </c>
      <c r="O97" s="2" t="inlineStr">
        <is>
          <t xml:space="preserve"/>
        </is>
      </c>
      <c r="P97" s="2" t="inlineStr">
        <is>
          <t xml:space="preserve">docs/features/SOD.md; frontend/tests/sod-assignment-decisions.spec.ts</t>
        </is>
      </c>
      <c r="Q97" s="2" t="inlineStr">
        <is>
          <t xml:space="preserve">Not assessed</t>
        </is>
      </c>
      <c r="R97" s="2" t="inlineStr">
        <is>
          <t xml:space="preserve">Unclassified</t>
        </is>
      </c>
      <c r="S97" s="2" t="inlineStr">
        <is>
          <t xml:space="preserve">Not started</t>
        </is>
      </c>
    </row>
    <row r="98">
      <c r="A98" s="2" t="inlineStr">
        <is>
          <t xml:space="preserve">SODV-003</t>
        </is>
      </c>
      <c r="B98" s="2" t="inlineStr">
        <is>
          <t xml:space="preserve">SoD Reviews</t>
        </is>
      </c>
      <c r="C98" s="2" t="inlineStr">
        <is>
          <t xml:space="preserve">Reviews › Activity review</t>
        </is>
      </c>
      <c r="D98" s="2" t="inlineStr">
        <is>
          <t xml:space="preserve">Activity decisions are separate from assignment decisions and never change detection.</t>
        </is>
      </c>
      <c r="E98" s="2" t="inlineStr">
        <is>
          <t xml:space="preserve">Not set</t>
        </is>
      </c>
      <c r="F98" s="2" t="inlineStr">
        <is>
          <t xml:space="preserve">Not tested</t>
        </is>
      </c>
      <c r="G98" s="2" t="inlineStr">
        <is>
          <t xml:space="preserve">Pending</t>
        </is>
      </c>
      <c r="H98" s="2" t="inlineStr">
        <is>
          <t xml:space="preserve"/>
        </is>
      </c>
      <c r="I98" s="2" t="inlineStr">
        <is>
          <t xml:space="preserve"/>
        </is>
      </c>
      <c r="J98" s="2" t="inlineStr">
        <is>
          <t xml:space="preserve"/>
        </is>
      </c>
      <c r="K98" s="2" t="inlineStr">
        <is>
          <t xml:space="preserve"/>
        </is>
      </c>
      <c r="L98" s="2" t="inlineStr">
        <is>
          <t xml:space="preserve"/>
        </is>
      </c>
      <c r="M98" s="2" t="inlineStr">
        <is>
          <t xml:space="preserve"/>
        </is>
      </c>
      <c r="N98" s="2" t="inlineStr">
        <is>
          <t xml:space="preserve"/>
        </is>
      </c>
      <c r="O98" s="2" t="inlineStr">
        <is>
          <t xml:space="preserve"/>
        </is>
      </c>
      <c r="P98" s="2" t="inlineStr">
        <is>
          <t xml:space="preserve">docs/features/SOD.md; frontend/tests/sod-governance.spec.ts</t>
        </is>
      </c>
      <c r="Q98" s="2" t="inlineStr">
        <is>
          <t xml:space="preserve">Not assessed</t>
        </is>
      </c>
      <c r="R98" s="2" t="inlineStr">
        <is>
          <t xml:space="preserve">Unclassified</t>
        </is>
      </c>
      <c r="S98" s="2" t="inlineStr">
        <is>
          <t xml:space="preserve">Not started</t>
        </is>
      </c>
    </row>
    <row r="99">
      <c r="A99" s="2" t="inlineStr">
        <is>
          <t xml:space="preserve">SODV-004</t>
        </is>
      </c>
      <c r="B99" s="2" t="inlineStr">
        <is>
          <t xml:space="preserve">SoD Reviews</t>
        </is>
      </c>
      <c r="C99" s="2" t="inlineStr">
        <is>
          <t xml:space="preserve">Reviews › Risk acceptance</t>
        </is>
      </c>
      <c r="D99" s="2" t="inlineStr">
        <is>
          <t xml:space="preserve">Acceptance rows lead with Decide, collapse history and require approver details.</t>
        </is>
      </c>
      <c r="E99" s="2" t="inlineStr">
        <is>
          <t xml:space="preserve">Not set</t>
        </is>
      </c>
      <c r="F99" s="2" t="inlineStr">
        <is>
          <t xml:space="preserve">Not tested</t>
        </is>
      </c>
      <c r="G99" s="2" t="inlineStr">
        <is>
          <t xml:space="preserve">Pending</t>
        </is>
      </c>
      <c r="H99" s="2" t="inlineStr">
        <is>
          <t xml:space="preserve"/>
        </is>
      </c>
      <c r="I99" s="2" t="inlineStr">
        <is>
          <t xml:space="preserve"/>
        </is>
      </c>
      <c r="J99" s="2" t="inlineStr">
        <is>
          <t xml:space="preserve"/>
        </is>
      </c>
      <c r="K99" s="2" t="inlineStr">
        <is>
          <t xml:space="preserve"/>
        </is>
      </c>
      <c r="L99" s="2" t="inlineStr">
        <is>
          <t xml:space="preserve"/>
        </is>
      </c>
      <c r="M99" s="2" t="inlineStr">
        <is>
          <t xml:space="preserve"/>
        </is>
      </c>
      <c r="N99" s="2" t="inlineStr">
        <is>
          <t xml:space="preserve"/>
        </is>
      </c>
      <c r="O99" s="2" t="inlineStr">
        <is>
          <t xml:space="preserve"/>
        </is>
      </c>
      <c r="P99" s="2" t="inlineStr">
        <is>
          <t xml:space="preserve">docs/features/SOD.md; frontend/tests/sod-governance.spec.ts</t>
        </is>
      </c>
      <c r="Q99" s="2" t="inlineStr">
        <is>
          <t xml:space="preserve">Not assessed</t>
        </is>
      </c>
      <c r="R99" s="2" t="inlineStr">
        <is>
          <t xml:space="preserve">Unclassified</t>
        </is>
      </c>
      <c r="S99" s="2" t="inlineStr">
        <is>
          <t xml:space="preserve">Not started</t>
        </is>
      </c>
    </row>
    <row r="100">
      <c r="A100" s="2" t="inlineStr">
        <is>
          <t xml:space="preserve">SODV-005</t>
        </is>
      </c>
      <c r="B100" s="2" t="inlineStr">
        <is>
          <t xml:space="preserve">SoD Reviews</t>
        </is>
      </c>
      <c r="C100" s="2" t="inlineStr">
        <is>
          <t xml:space="preserve">Reviews › History and evidence</t>
        </is>
      </c>
      <c r="D100" s="2" t="inlineStr">
        <is>
          <t xml:space="preserve">Decision history shows reviewer, time and evidence version and is immutable.</t>
        </is>
      </c>
      <c r="E100" s="2" t="inlineStr">
        <is>
          <t xml:space="preserve">Not set</t>
        </is>
      </c>
      <c r="F100" s="2" t="inlineStr">
        <is>
          <t xml:space="preserve">Not tested</t>
        </is>
      </c>
      <c r="G100" s="2" t="inlineStr">
        <is>
          <t xml:space="preserve">Pending</t>
        </is>
      </c>
      <c r="H100" s="2" t="inlineStr">
        <is>
          <t xml:space="preserve"/>
        </is>
      </c>
      <c r="I100" s="2" t="inlineStr">
        <is>
          <t xml:space="preserve"/>
        </is>
      </c>
      <c r="J100" s="2" t="inlineStr">
        <is>
          <t xml:space="preserve"/>
        </is>
      </c>
      <c r="K100" s="2" t="inlineStr">
        <is>
          <t xml:space="preserve"/>
        </is>
      </c>
      <c r="L100" s="2" t="inlineStr">
        <is>
          <t xml:space="preserve"/>
        </is>
      </c>
      <c r="M100" s="2" t="inlineStr">
        <is>
          <t xml:space="preserve"/>
        </is>
      </c>
      <c r="N100" s="2" t="inlineStr">
        <is>
          <t xml:space="preserve"/>
        </is>
      </c>
      <c r="O100" s="2" t="inlineStr">
        <is>
          <t xml:space="preserve"/>
        </is>
      </c>
      <c r="P100" s="2" t="inlineStr">
        <is>
          <t xml:space="preserve">docs/features/SOD.md; frontend/tests/sod-governance.spec.ts</t>
        </is>
      </c>
      <c r="Q100" s="2" t="inlineStr">
        <is>
          <t xml:space="preserve">Not assessed</t>
        </is>
      </c>
      <c r="R100" s="2" t="inlineStr">
        <is>
          <t xml:space="preserve">Unclassified</t>
        </is>
      </c>
      <c r="S100" s="2" t="inlineStr">
        <is>
          <t xml:space="preserve">Not started</t>
        </is>
      </c>
    </row>
    <row r="101">
      <c r="A101" s="2" t="inlineStr">
        <is>
          <t xml:space="preserve">SODV-006</t>
        </is>
      </c>
      <c r="B101" s="2" t="inlineStr">
        <is>
          <t xml:space="preserve">SoD Reviews</t>
        </is>
      </c>
      <c r="C101" s="2" t="inlineStr">
        <is>
          <t xml:space="preserve">Reviews › Bulk review</t>
        </is>
      </c>
      <c r="D101" s="2" t="inlineStr">
        <is>
          <t xml:space="preserve">Select all, Clear selection and bulk actions apply to the filtered scope only.</t>
        </is>
      </c>
      <c r="E101" s="2" t="inlineStr">
        <is>
          <t xml:space="preserve">Not set</t>
        </is>
      </c>
      <c r="F101" s="2" t="inlineStr">
        <is>
          <t xml:space="preserve">Not tested</t>
        </is>
      </c>
      <c r="G101" s="2" t="inlineStr">
        <is>
          <t xml:space="preserve">Pending</t>
        </is>
      </c>
      <c r="H101" s="2" t="inlineStr">
        <is>
          <t xml:space="preserve"/>
        </is>
      </c>
      <c r="I101" s="2" t="inlineStr">
        <is>
          <t xml:space="preserve"/>
        </is>
      </c>
      <c r="J101" s="2" t="inlineStr">
        <is>
          <t xml:space="preserve"/>
        </is>
      </c>
      <c r="K101" s="2" t="inlineStr">
        <is>
          <t xml:space="preserve"/>
        </is>
      </c>
      <c r="L101" s="2" t="inlineStr">
        <is>
          <t xml:space="preserve"/>
        </is>
      </c>
      <c r="M101" s="2" t="inlineStr">
        <is>
          <t xml:space="preserve"/>
        </is>
      </c>
      <c r="N101" s="2" t="inlineStr">
        <is>
          <t xml:space="preserve"/>
        </is>
      </c>
      <c r="O101" s="2" t="inlineStr">
        <is>
          <t xml:space="preserve"/>
        </is>
      </c>
      <c r="P101" s="2" t="inlineStr">
        <is>
          <t xml:space="preserve">docs/features/SOD.md; frontend/tests/sod-bulk-review.spec.ts</t>
        </is>
      </c>
      <c r="Q101" s="2" t="inlineStr">
        <is>
          <t xml:space="preserve">Not assessed</t>
        </is>
      </c>
      <c r="R101" s="2" t="inlineStr">
        <is>
          <t xml:space="preserve">Unclassified</t>
        </is>
      </c>
      <c r="S101" s="2" t="inlineStr">
        <is>
          <t xml:space="preserve">Not started</t>
        </is>
      </c>
    </row>
    <row r="102">
      <c r="A102" s="2" t="inlineStr">
        <is>
          <t xml:space="preserve">SODV-007</t>
        </is>
      </c>
      <c r="B102" s="2" t="inlineStr">
        <is>
          <t xml:space="preserve">SoD Reviews</t>
        </is>
      </c>
      <c r="C102" s="2" t="inlineStr">
        <is>
          <t xml:space="preserve">Work Queue and Remediation › Shared KPI filter controls</t>
        </is>
      </c>
      <c r="D102" s="2" t="inlineStr">
        <is>
          <t xml:space="preserve">Work Queue and Remediation filter tiles are the same Kpi control (size, selected state, spacing, typography, hover and focus) with their own filter logic.</t>
        </is>
      </c>
      <c r="E102" s="2" t="inlineStr">
        <is>
          <t xml:space="preserve">Not set</t>
        </is>
      </c>
      <c r="F102" s="2" t="inlineStr">
        <is>
          <t xml:space="preserve">Not tested</t>
        </is>
      </c>
      <c r="G102" s="2" t="inlineStr">
        <is>
          <t xml:space="preserve">Pending</t>
        </is>
      </c>
      <c r="H102" s="2" t="inlineStr">
        <is>
          <t xml:space="preserve">frontend/tests/sod-reviews-r6.spec.ts</t>
        </is>
      </c>
      <c r="I102" s="2" t="inlineStr">
        <is>
          <t xml:space="preserve"/>
        </is>
      </c>
      <c r="J102" s="2" t="inlineStr">
        <is>
          <t xml:space="preserve"/>
        </is>
      </c>
      <c r="K102" s="2" t="inlineStr">
        <is>
          <t xml:space="preserve"/>
        </is>
      </c>
      <c r="L102" s="2" t="inlineStr">
        <is>
          <t xml:space="preserve"/>
        </is>
      </c>
      <c r="M102" s="2" t="inlineStr">
        <is>
          <t xml:space="preserve"/>
        </is>
      </c>
      <c r="N102" s="2" t="inlineStr">
        <is>
          <t xml:space="preserve">Compare the two pages in both themes.</t>
        </is>
      </c>
      <c r="O102" s="2" t="inlineStr">
        <is>
          <t xml:space="preserve">The tracking toggles (All rows, Awaiting action, Verified removals) remain buttons because they have no counts.</t>
        </is>
      </c>
      <c r="P102" s="2" t="inlineStr">
        <is>
          <t xml:space="preserve">frontend/src/components/Sod/SodRemediation.tsx; frontend/src/components/Sod/SodReviews.tsx</t>
        </is>
      </c>
      <c r="Q102" s="2" t="inlineStr">
        <is>
          <t xml:space="preserve">Implemented</t>
        </is>
      </c>
      <c r="R102" s="2" t="inlineStr">
        <is>
          <t xml:space="preserve">Unclassified</t>
        </is>
      </c>
      <c r="S102" s="2" t="inlineStr">
        <is>
          <t xml:space="preserve">Not started</t>
        </is>
      </c>
    </row>
    <row r="103">
      <c r="A103" s="2" t="inlineStr">
        <is>
          <t xml:space="preserve">SODV-008</t>
        </is>
      </c>
      <c r="B103" s="2" t="inlineStr">
        <is>
          <t xml:space="preserve">SoD Reviews</t>
        </is>
      </c>
      <c r="C103" s="2" t="inlineStr">
        <is>
          <t xml:space="preserve">Work Queue and Remediation › Compatibility with the shared SoD filter context</t>
        </is>
      </c>
      <c r="D103" s="2" t="inlineStr">
        <is>
          <t xml:space="preserve">Tile filters work alongside the shared SoD filters; shared selections persist across both pages and tile changes.</t>
        </is>
      </c>
      <c r="E103" s="2" t="inlineStr">
        <is>
          <t xml:space="preserve">Not set</t>
        </is>
      </c>
      <c r="F103" s="2" t="inlineStr">
        <is>
          <t xml:space="preserve">Not tested</t>
        </is>
      </c>
      <c r="G103" s="2" t="inlineStr">
        <is>
          <t xml:space="preserve">Pending</t>
        </is>
      </c>
      <c r="H103" s="2" t="inlineStr">
        <is>
          <t xml:space="preserve">frontend/tests/sod-reviews-r6.spec.ts; frontend/tests/sod-shared-filters.spec.ts</t>
        </is>
      </c>
      <c r="I103" s="2" t="inlineStr">
        <is>
          <t xml:space="preserve"/>
        </is>
      </c>
      <c r="J103" s="2" t="inlineStr">
        <is>
          <t xml:space="preserve"/>
        </is>
      </c>
      <c r="K103" s="2" t="inlineStr">
        <is>
          <t xml:space="preserve"/>
        </is>
      </c>
      <c r="L103" s="2" t="inlineStr">
        <is>
          <t xml:space="preserve"/>
        </is>
      </c>
      <c r="M103" s="2" t="inlineStr">
        <is>
          <t xml:space="preserve"/>
        </is>
      </c>
      <c r="N103" s="2" t="inlineStr">
        <is>
          <t xml:space="preserve">Try a shared group filter together with each tile.</t>
        </is>
      </c>
      <c r="O103" s="2" t="inlineStr">
        <is>
          <t xml:space="preserve">None known.</t>
        </is>
      </c>
      <c r="P103" s="2" t="inlineStr">
        <is>
          <t xml:space="preserve">frontend/src/components/Sod/SodShared.tsx</t>
        </is>
      </c>
      <c r="Q103" s="2" t="inlineStr">
        <is>
          <t xml:space="preserve">Implemented</t>
        </is>
      </c>
      <c r="R103" s="2" t="inlineStr">
        <is>
          <t xml:space="preserve">Unclassified</t>
        </is>
      </c>
      <c r="S103" s="2" t="inlineStr">
        <is>
          <t xml:space="preserve">Not started</t>
        </is>
      </c>
    </row>
    <row r="104">
      <c r="A104" s="2" t="inlineStr">
        <is>
          <t xml:space="preserve">SODV-009</t>
        </is>
      </c>
      <c r="B104" s="2" t="inlineStr">
        <is>
          <t xml:space="preserve">SoD Reviews</t>
        </is>
      </c>
      <c r="C104" s="2" t="inlineStr">
        <is>
          <t xml:space="preserve">Work queue and Remediation › SAP User Group column</t>
        </is>
      </c>
      <c r="D104" s="2" t="inlineStr">
        <is>
          <t xml:space="preserve">Work queue: SAP user, SAP User Group, Progress, Activities, Role assignments, Risk acceptance, Open. Remediation shows the assignment group next to the SAP user; progress, decisions and action tracking are unchanged.</t>
        </is>
      </c>
      <c r="E104" s="2" t="inlineStr">
        <is>
          <t xml:space="preserve">Not set</t>
        </is>
      </c>
      <c r="F104" s="2" t="inlineStr">
        <is>
          <t xml:space="preserve">Not tested</t>
        </is>
      </c>
      <c r="G104" s="2" t="inlineStr">
        <is>
          <t xml:space="preserve">Pending</t>
        </is>
      </c>
      <c r="H104" s="2" t="inlineStr">
        <is>
          <t xml:space="preserve">frontend/tests/sod-user-group-column.spec.ts; backend/tests/test_sod_governance.py</t>
        </is>
      </c>
      <c r="I104" s="2" t="inlineStr">
        <is>
          <t xml:space="preserve"/>
        </is>
      </c>
      <c r="J104" s="2" t="inlineStr">
        <is>
          <t xml:space="preserve"/>
        </is>
      </c>
      <c r="K104" s="2" t="inlineStr">
        <is>
          <t xml:space="preserve">The removal-recommended note moved into the Progress cell.</t>
        </is>
      </c>
      <c r="L104" s="2" t="inlineStr">
        <is>
          <t xml:space="preserve"/>
        </is>
      </c>
      <c r="M104" s="2" t="inlineStr">
        <is>
          <t xml:space="preserve"/>
        </is>
      </c>
      <c r="N104" s="2" t="inlineStr">
        <is>
          <t xml:space="preserve">Check the queue and the remediation table with decisions in both themes.</t>
        </is>
      </c>
      <c r="O104" s="2" t="inlineStr">
        <is>
          <t xml:space="preserve">The remediation header order is only asserted when remediation rows exist in the fixture.</t>
        </is>
      </c>
      <c r="P104" s="2" t="inlineStr">
        <is>
          <t xml:space="preserve">frontend/src/components/Sod/SodReviews.tsx; frontend/src/components/Sod/SodRemediation.tsx</t>
        </is>
      </c>
      <c r="Q104" s="2" t="inlineStr">
        <is>
          <t xml:space="preserve">Implemented</t>
        </is>
      </c>
      <c r="R104" s="2" t="inlineStr">
        <is>
          <t xml:space="preserve">Unclassified</t>
        </is>
      </c>
      <c r="S104" s="2" t="inlineStr">
        <is>
          <t xml:space="preserve">Not started</t>
        </is>
      </c>
    </row>
    <row r="105">
      <c r="A105" s="2" t="inlineStr">
        <is>
          <t xml:space="preserve">SODR-001</t>
        </is>
      </c>
      <c r="B105" s="2" t="inlineStr">
        <is>
          <t xml:space="preserve">SoD Reviews</t>
        </is>
      </c>
      <c r="C105" s="2" t="inlineStr">
        <is>
          <t xml:space="preserve">Remediation › Recommended handling</t>
        </is>
      </c>
      <c r="D105" s="2" t="inlineStr">
        <is>
          <t xml:space="preserve">Groups (remove, investigate, compensating control, maintain, no action) count decided items only.</t>
        </is>
      </c>
      <c r="E105" s="2" t="inlineStr">
        <is>
          <t xml:space="preserve">Not set</t>
        </is>
      </c>
      <c r="F105" s="2" t="inlineStr">
        <is>
          <t xml:space="preserve">Not tested</t>
        </is>
      </c>
      <c r="G105" s="2" t="inlineStr">
        <is>
          <t xml:space="preserve">Pending</t>
        </is>
      </c>
      <c r="H105" s="2" t="inlineStr">
        <is>
          <t xml:space="preserve"/>
        </is>
      </c>
      <c r="I105" s="2" t="inlineStr">
        <is>
          <t xml:space="preserve"/>
        </is>
      </c>
      <c r="J105" s="2" t="inlineStr">
        <is>
          <t xml:space="preserve"/>
        </is>
      </c>
      <c r="K105" s="2" t="inlineStr">
        <is>
          <t xml:space="preserve"/>
        </is>
      </c>
      <c r="L105" s="2" t="inlineStr">
        <is>
          <t xml:space="preserve"/>
        </is>
      </c>
      <c r="M105" s="2" t="inlineStr">
        <is>
          <t xml:space="preserve"/>
        </is>
      </c>
      <c r="N105" s="2" t="inlineStr">
        <is>
          <t xml:space="preserve"/>
        </is>
      </c>
      <c r="O105" s="2" t="inlineStr">
        <is>
          <t xml:space="preserve"/>
        </is>
      </c>
      <c r="P105" s="2" t="inlineStr">
        <is>
          <t xml:space="preserve">docs/features/SOD.md; frontend/tests/sod-governance.spec.ts</t>
        </is>
      </c>
      <c r="Q105" s="2" t="inlineStr">
        <is>
          <t xml:space="preserve">Not assessed</t>
        </is>
      </c>
      <c r="R105" s="2" t="inlineStr">
        <is>
          <t xml:space="preserve">Unclassified</t>
        </is>
      </c>
      <c r="S105" s="2" t="inlineStr">
        <is>
          <t xml:space="preserve">Not started</t>
        </is>
      </c>
    </row>
    <row r="106">
      <c r="A106" s="2" t="inlineStr">
        <is>
          <t xml:space="preserve">SODR-002</t>
        </is>
      </c>
      <c r="B106" s="2" t="inlineStr">
        <is>
          <t xml:space="preserve">SoD Reviews</t>
        </is>
      </c>
      <c r="C106" s="2" t="inlineStr">
        <is>
          <t xml:space="preserve">Remediation › Tracked actions</t>
        </is>
      </c>
      <c r="D106" s="2" t="inlineStr">
        <is>
          <t xml:space="preserve">Actions are created and updated with owner and due date; completion needs evidence.</t>
        </is>
      </c>
      <c r="E106" s="2" t="inlineStr">
        <is>
          <t xml:space="preserve">Not set</t>
        </is>
      </c>
      <c r="F106" s="2" t="inlineStr">
        <is>
          <t xml:space="preserve">Not tested</t>
        </is>
      </c>
      <c r="G106" s="2" t="inlineStr">
        <is>
          <t xml:space="preserve">Pending</t>
        </is>
      </c>
      <c r="H106" s="2" t="inlineStr">
        <is>
          <t xml:space="preserve"/>
        </is>
      </c>
      <c r="I106" s="2" t="inlineStr">
        <is>
          <t xml:space="preserve"/>
        </is>
      </c>
      <c r="J106" s="2" t="inlineStr">
        <is>
          <t xml:space="preserve"/>
        </is>
      </c>
      <c r="K106" s="2" t="inlineStr">
        <is>
          <t xml:space="preserve"/>
        </is>
      </c>
      <c r="L106" s="2" t="inlineStr">
        <is>
          <t xml:space="preserve"/>
        </is>
      </c>
      <c r="M106" s="2" t="inlineStr">
        <is>
          <t xml:space="preserve"/>
        </is>
      </c>
      <c r="N106" s="2" t="inlineStr">
        <is>
          <t xml:space="preserve"/>
        </is>
      </c>
      <c r="O106" s="2" t="inlineStr">
        <is>
          <t xml:space="preserve"/>
        </is>
      </c>
      <c r="P106" s="2" t="inlineStr">
        <is>
          <t xml:space="preserve">docs/features/SOD.md; frontend/tests/sod-governance.spec.ts</t>
        </is>
      </c>
      <c r="Q106" s="2" t="inlineStr">
        <is>
          <t xml:space="preserve">Not assessed</t>
        </is>
      </c>
      <c r="R106" s="2" t="inlineStr">
        <is>
          <t xml:space="preserve">Unclassified</t>
        </is>
      </c>
      <c r="S106" s="2" t="inlineStr">
        <is>
          <t xml:space="preserve">Not started</t>
        </is>
      </c>
    </row>
    <row r="107">
      <c r="A107" s="2" t="inlineStr">
        <is>
          <t xml:space="preserve">SODR-003</t>
        </is>
      </c>
      <c r="B107" s="2" t="inlineStr">
        <is>
          <t xml:space="preserve">SoD Reviews</t>
        </is>
      </c>
      <c r="C107" s="2" t="inlineStr">
        <is>
          <t xml:space="preserve">Remediation › Awaiting action filter</t>
        </is>
      </c>
      <c r="D107" s="2" t="inlineStr">
        <is>
          <t xml:space="preserve">The Awaiting action toggle lists removal recommendations without an action.</t>
        </is>
      </c>
      <c r="E107" s="2" t="inlineStr">
        <is>
          <t xml:space="preserve">Not set</t>
        </is>
      </c>
      <c r="F107" s="2" t="inlineStr">
        <is>
          <t xml:space="preserve">Not tested</t>
        </is>
      </c>
      <c r="G107" s="2" t="inlineStr">
        <is>
          <t xml:space="preserve">Pending</t>
        </is>
      </c>
      <c r="H107" s="2" t="inlineStr">
        <is>
          <t xml:space="preserve"/>
        </is>
      </c>
      <c r="I107" s="2" t="inlineStr">
        <is>
          <t xml:space="preserve"/>
        </is>
      </c>
      <c r="J107" s="2" t="inlineStr">
        <is>
          <t xml:space="preserve"/>
        </is>
      </c>
      <c r="K107" s="2" t="inlineStr">
        <is>
          <t xml:space="preserve"/>
        </is>
      </c>
      <c r="L107" s="2" t="inlineStr">
        <is>
          <t xml:space="preserve"/>
        </is>
      </c>
      <c r="M107" s="2" t="inlineStr">
        <is>
          <t xml:space="preserve"/>
        </is>
      </c>
      <c r="N107" s="2" t="inlineStr">
        <is>
          <t xml:space="preserve"/>
        </is>
      </c>
      <c r="O107" s="2" t="inlineStr">
        <is>
          <t xml:space="preserve"/>
        </is>
      </c>
      <c r="P107" s="2" t="inlineStr">
        <is>
          <t xml:space="preserve">docs/features/SOD.md; frontend/tests/sod-overview-actionable.spec.ts</t>
        </is>
      </c>
      <c r="Q107" s="2" t="inlineStr">
        <is>
          <t xml:space="preserve">Not assessed</t>
        </is>
      </c>
      <c r="R107" s="2" t="inlineStr">
        <is>
          <t xml:space="preserve">Unclassified</t>
        </is>
      </c>
      <c r="S107" s="2" t="inlineStr">
        <is>
          <t xml:space="preserve">Not started</t>
        </is>
      </c>
    </row>
    <row r="108">
      <c r="A108" s="2" t="inlineStr">
        <is>
          <t xml:space="preserve">SODR-004</t>
        </is>
      </c>
      <c r="B108" s="2" t="inlineStr">
        <is>
          <t xml:space="preserve">SoD Reviews</t>
        </is>
      </c>
      <c r="C108" s="2" t="inlineStr">
        <is>
          <t xml:space="preserve">Remediation › Verified removals</t>
        </is>
      </c>
      <c r="D108" s="2" t="inlineStr">
        <is>
          <t xml:space="preserve">A removal verifies only with a newer User-Role import without the assignment; completed status alone never verifies.</t>
        </is>
      </c>
      <c r="E108" s="2" t="inlineStr">
        <is>
          <t xml:space="preserve">Not set</t>
        </is>
      </c>
      <c r="F108" s="2" t="inlineStr">
        <is>
          <t xml:space="preserve">Not tested</t>
        </is>
      </c>
      <c r="G108" s="2" t="inlineStr">
        <is>
          <t xml:space="preserve">Pending</t>
        </is>
      </c>
      <c r="H108" s="2" t="inlineStr">
        <is>
          <t xml:space="preserve"/>
        </is>
      </c>
      <c r="I108" s="2" t="inlineStr">
        <is>
          <t xml:space="preserve"/>
        </is>
      </c>
      <c r="J108" s="2" t="inlineStr">
        <is>
          <t xml:space="preserve"/>
        </is>
      </c>
      <c r="K108" s="2" t="inlineStr">
        <is>
          <t xml:space="preserve"/>
        </is>
      </c>
      <c r="L108" s="2" t="inlineStr">
        <is>
          <t xml:space="preserve"/>
        </is>
      </c>
      <c r="M108" s="2" t="inlineStr">
        <is>
          <t xml:space="preserve"/>
        </is>
      </c>
      <c r="N108" s="2" t="inlineStr">
        <is>
          <t xml:space="preserve"/>
        </is>
      </c>
      <c r="O108" s="2" t="inlineStr">
        <is>
          <t xml:space="preserve"/>
        </is>
      </c>
      <c r="P108" s="2" t="inlineStr">
        <is>
          <t xml:space="preserve">docs/features/SOD.md; frontend/tests/sod-overview-actionable.spec.ts</t>
        </is>
      </c>
      <c r="Q108" s="2" t="inlineStr">
        <is>
          <t xml:space="preserve">Not assessed</t>
        </is>
      </c>
      <c r="R108" s="2" t="inlineStr">
        <is>
          <t xml:space="preserve">Unclassified</t>
        </is>
      </c>
      <c r="S108" s="2" t="inlineStr">
        <is>
          <t xml:space="preserve">Not started</t>
        </is>
      </c>
    </row>
    <row r="109">
      <c r="A109" s="2" t="inlineStr">
        <is>
          <t xml:space="preserve">SODR-005</t>
        </is>
      </c>
      <c r="B109" s="2" t="inlineStr">
        <is>
          <t xml:space="preserve">SoD Reviews</t>
        </is>
      </c>
      <c r="C109" s="2" t="inlineStr">
        <is>
          <t xml:space="preserve">Remediation › Export</t>
        </is>
      </c>
      <c r="D109" s="2" t="inlineStr">
        <is>
          <t xml:space="preserve">Remediation CSV follows the active filters and tracking toggle.</t>
        </is>
      </c>
      <c r="E109" s="2" t="inlineStr">
        <is>
          <t xml:space="preserve">Not set</t>
        </is>
      </c>
      <c r="F109" s="2" t="inlineStr">
        <is>
          <t xml:space="preserve">Not tested</t>
        </is>
      </c>
      <c r="G109" s="2" t="inlineStr">
        <is>
          <t xml:space="preserve">Pending</t>
        </is>
      </c>
      <c r="H109" s="2" t="inlineStr">
        <is>
          <t xml:space="preserve"/>
        </is>
      </c>
      <c r="I109" s="2" t="inlineStr">
        <is>
          <t xml:space="preserve"/>
        </is>
      </c>
      <c r="J109" s="2" t="inlineStr">
        <is>
          <t xml:space="preserve"/>
        </is>
      </c>
      <c r="K109" s="2" t="inlineStr">
        <is>
          <t xml:space="preserve"/>
        </is>
      </c>
      <c r="L109" s="2" t="inlineStr">
        <is>
          <t xml:space="preserve"/>
        </is>
      </c>
      <c r="M109" s="2" t="inlineStr">
        <is>
          <t xml:space="preserve"/>
        </is>
      </c>
      <c r="N109" s="2" t="inlineStr">
        <is>
          <t xml:space="preserve"/>
        </is>
      </c>
      <c r="O109" s="2" t="inlineStr">
        <is>
          <t xml:space="preserve"/>
        </is>
      </c>
      <c r="P109" s="2" t="inlineStr">
        <is>
          <t xml:space="preserve">docs/features/SOD.md; frontend/tests/sod-export-ux.spec.ts</t>
        </is>
      </c>
      <c r="Q109" s="2" t="inlineStr">
        <is>
          <t xml:space="preserve">Not assessed</t>
        </is>
      </c>
      <c r="R109" s="2" t="inlineStr">
        <is>
          <t xml:space="preserve">Unclassified</t>
        </is>
      </c>
      <c r="S109" s="2" t="inlineStr">
        <is>
          <t xml:space="preserve">Not started</t>
        </is>
      </c>
    </row>
    <row r="110">
      <c r="A110" s="2" t="inlineStr">
        <is>
          <t xml:space="preserve">SODR-006</t>
        </is>
      </c>
      <c r="B110" s="2" t="inlineStr">
        <is>
          <t xml:space="preserve">SoD Reviews</t>
        </is>
      </c>
      <c r="C110" s="2" t="inlineStr">
        <is>
          <t xml:space="preserve">Remediation › Table layout</t>
        </is>
      </c>
      <c r="D110" s="2" t="inlineStr">
        <is>
          <t xml:space="preserve">The remediation table is usable at 1280 px with the filter sidebar open.</t>
        </is>
      </c>
      <c r="E110" s="2" t="inlineStr">
        <is>
          <t xml:space="preserve">Low</t>
        </is>
      </c>
      <c r="F110" s="2" t="inlineStr">
        <is>
          <t xml:space="preserve">Needs improvement</t>
        </is>
      </c>
      <c r="G110" s="2" t="inlineStr">
        <is>
          <t xml:space="preserve">Pending</t>
        </is>
      </c>
      <c r="H110" s="2" t="inlineStr">
        <is>
          <t xml:space="preserve"/>
        </is>
      </c>
      <c r="I110" s="2" t="inlineStr">
        <is>
          <t xml:space="preserve"/>
        </is>
      </c>
      <c r="J110" s="2" t="inlineStr">
        <is>
          <t xml:space="preserve"/>
        </is>
      </c>
      <c r="K110" s="2" t="inlineStr">
        <is>
          <t xml:space="preserve">Round 3 visual QA: at 1280 px with the filter sidebar open the table scrolls horizontally inside its card, so the Actions column is partly hidden until scrolled. The page itself does not overflow.</t>
        </is>
      </c>
      <c r="L110" s="2" t="inlineStr">
        <is>
          <t xml:space="preserve"/>
        </is>
      </c>
      <c r="M110" s="2" t="inlineStr">
        <is>
          <t xml:space="preserve"/>
        </is>
      </c>
      <c r="N110" s="2" t="inlineStr">
        <is>
          <t xml:space="preserve"/>
        </is>
      </c>
      <c r="O110" s="2" t="inlineStr">
        <is>
          <t xml:space="preserve"/>
        </is>
      </c>
      <c r="P110" s="2" t="inlineStr">
        <is>
          <t xml:space="preserve">docs/features/SOD.md; frontend/tests/sod-layout.spec.ts</t>
        </is>
      </c>
      <c r="Q110" s="2" t="inlineStr">
        <is>
          <t xml:space="preserve">Not assessed</t>
        </is>
      </c>
      <c r="R110" s="2" t="inlineStr">
        <is>
          <t xml:space="preserve">Improvement opportunity</t>
        </is>
      </c>
      <c r="S110" s="2" t="inlineStr">
        <is>
          <t xml:space="preserve">Not started</t>
        </is>
      </c>
    </row>
    <row r="111">
      <c r="A111" s="2" t="inlineStr">
        <is>
          <t xml:space="preserve">SODP-001</t>
        </is>
      </c>
      <c r="B111" s="2" t="inlineStr">
        <is>
          <t xml:space="preserve">Review Periods</t>
        </is>
      </c>
      <c r="C111" s="2" t="inlineStr">
        <is>
          <t xml:space="preserve">Review Periods › Create period</t>
        </is>
      </c>
      <c r="D111" s="2" t="inlineStr">
        <is>
          <t xml:space="preserve">Creating a period captures an immutable snapshot of evidence and decisions.</t>
        </is>
      </c>
      <c r="E111" s="2" t="inlineStr">
        <is>
          <t xml:space="preserve">Not set</t>
        </is>
      </c>
      <c r="F111" s="2" t="inlineStr">
        <is>
          <t xml:space="preserve">Not tested</t>
        </is>
      </c>
      <c r="G111" s="2" t="inlineStr">
        <is>
          <t xml:space="preserve">Pending</t>
        </is>
      </c>
      <c r="H111" s="2" t="inlineStr">
        <is>
          <t xml:space="preserve"/>
        </is>
      </c>
      <c r="I111" s="2" t="inlineStr">
        <is>
          <t xml:space="preserve"/>
        </is>
      </c>
      <c r="J111" s="2" t="inlineStr">
        <is>
          <t xml:space="preserve"/>
        </is>
      </c>
      <c r="K111" s="2" t="inlineStr">
        <is>
          <t xml:space="preserve"/>
        </is>
      </c>
      <c r="L111" s="2" t="inlineStr">
        <is>
          <t xml:space="preserve"/>
        </is>
      </c>
      <c r="M111" s="2" t="inlineStr">
        <is>
          <t xml:space="preserve"/>
        </is>
      </c>
      <c r="N111" s="2" t="inlineStr">
        <is>
          <t xml:space="preserve"/>
        </is>
      </c>
      <c r="O111" s="2" t="inlineStr">
        <is>
          <t xml:space="preserve"/>
        </is>
      </c>
      <c r="P111" s="2" t="inlineStr">
        <is>
          <t xml:space="preserve">docs/features/SOD.md; frontend/tests/sod-periods.spec.ts</t>
        </is>
      </c>
      <c r="Q111" s="2" t="inlineStr">
        <is>
          <t xml:space="preserve">Not assessed</t>
        </is>
      </c>
      <c r="R111" s="2" t="inlineStr">
        <is>
          <t xml:space="preserve">Unclassified</t>
        </is>
      </c>
      <c r="S111" s="2" t="inlineStr">
        <is>
          <t xml:space="preserve">Not started</t>
        </is>
      </c>
    </row>
    <row r="112">
      <c r="A112" s="2" t="inlineStr">
        <is>
          <t xml:space="preserve">SODP-002</t>
        </is>
      </c>
      <c r="B112" s="2" t="inlineStr">
        <is>
          <t xml:space="preserve">Review Periods</t>
        </is>
      </c>
      <c r="C112" s="2" t="inlineStr">
        <is>
          <t xml:space="preserve">Review Periods › Lifecycle</t>
        </is>
      </c>
      <c r="D112" s="2" t="inlineStr">
        <is>
          <t xml:space="preserve">Period states move only along allowed transitions with clear blocking messages.</t>
        </is>
      </c>
      <c r="E112" s="2" t="inlineStr">
        <is>
          <t xml:space="preserve">Not set</t>
        </is>
      </c>
      <c r="F112" s="2" t="inlineStr">
        <is>
          <t xml:space="preserve">Not tested</t>
        </is>
      </c>
      <c r="G112" s="2" t="inlineStr">
        <is>
          <t xml:space="preserve">Pending</t>
        </is>
      </c>
      <c r="H112" s="2" t="inlineStr">
        <is>
          <t xml:space="preserve"/>
        </is>
      </c>
      <c r="I112" s="2" t="inlineStr">
        <is>
          <t xml:space="preserve"/>
        </is>
      </c>
      <c r="J112" s="2" t="inlineStr">
        <is>
          <t xml:space="preserve"/>
        </is>
      </c>
      <c r="K112" s="2" t="inlineStr">
        <is>
          <t xml:space="preserve"/>
        </is>
      </c>
      <c r="L112" s="2" t="inlineStr">
        <is>
          <t xml:space="preserve"/>
        </is>
      </c>
      <c r="M112" s="2" t="inlineStr">
        <is>
          <t xml:space="preserve"/>
        </is>
      </c>
      <c r="N112" s="2" t="inlineStr">
        <is>
          <t xml:space="preserve"/>
        </is>
      </c>
      <c r="O112" s="2" t="inlineStr">
        <is>
          <t xml:space="preserve"/>
        </is>
      </c>
      <c r="P112" s="2" t="inlineStr">
        <is>
          <t xml:space="preserve">docs/features/SOD.md; frontend/tests/sod-periods.spec.ts</t>
        </is>
      </c>
      <c r="Q112" s="2" t="inlineStr">
        <is>
          <t xml:space="preserve">Not assessed</t>
        </is>
      </c>
      <c r="R112" s="2" t="inlineStr">
        <is>
          <t xml:space="preserve">Unclassified</t>
        </is>
      </c>
      <c r="S112" s="2" t="inlineStr">
        <is>
          <t xml:space="preserve">Not started</t>
        </is>
      </c>
    </row>
    <row r="113">
      <c r="A113" s="2" t="inlineStr">
        <is>
          <t xml:space="preserve">SODP-003</t>
        </is>
      </c>
      <c r="B113" s="2" t="inlineStr">
        <is>
          <t xml:space="preserve">Review Periods</t>
        </is>
      </c>
      <c r="C113" s="2" t="inlineStr">
        <is>
          <t xml:space="preserve">Review Periods › Compare periods</t>
        </is>
      </c>
      <c r="D113" s="2" t="inlineStr">
        <is>
          <t xml:space="preserve">Comparison shows new, removed and changed findings between two periods.</t>
        </is>
      </c>
      <c r="E113" s="2" t="inlineStr">
        <is>
          <t xml:space="preserve">Not set</t>
        </is>
      </c>
      <c r="F113" s="2" t="inlineStr">
        <is>
          <t xml:space="preserve">Not tested</t>
        </is>
      </c>
      <c r="G113" s="2" t="inlineStr">
        <is>
          <t xml:space="preserve">Pending</t>
        </is>
      </c>
      <c r="H113" s="2" t="inlineStr">
        <is>
          <t xml:space="preserve"/>
        </is>
      </c>
      <c r="I113" s="2" t="inlineStr">
        <is>
          <t xml:space="preserve"/>
        </is>
      </c>
      <c r="J113" s="2" t="inlineStr">
        <is>
          <t xml:space="preserve"/>
        </is>
      </c>
      <c r="K113" s="2" t="inlineStr">
        <is>
          <t xml:space="preserve"/>
        </is>
      </c>
      <c r="L113" s="2" t="inlineStr">
        <is>
          <t xml:space="preserve"/>
        </is>
      </c>
      <c r="M113" s="2" t="inlineStr">
        <is>
          <t xml:space="preserve"/>
        </is>
      </c>
      <c r="N113" s="2" t="inlineStr">
        <is>
          <t xml:space="preserve"/>
        </is>
      </c>
      <c r="O113" s="2" t="inlineStr">
        <is>
          <t xml:space="preserve"/>
        </is>
      </c>
      <c r="P113" s="2" t="inlineStr">
        <is>
          <t xml:space="preserve">docs/features/SOD.md; frontend/tests/sod-periods.spec.ts</t>
        </is>
      </c>
      <c r="Q113" s="2" t="inlineStr">
        <is>
          <t xml:space="preserve">Not assessed</t>
        </is>
      </c>
      <c r="R113" s="2" t="inlineStr">
        <is>
          <t xml:space="preserve">Unclassified</t>
        </is>
      </c>
      <c r="S113" s="2" t="inlineStr">
        <is>
          <t xml:space="preserve">Not started</t>
        </is>
      </c>
    </row>
    <row r="114">
      <c r="A114" s="2" t="inlineStr">
        <is>
          <t xml:space="preserve">SODP-004</t>
        </is>
      </c>
      <c r="B114" s="2" t="inlineStr">
        <is>
          <t xml:space="preserve">Review Periods</t>
        </is>
      </c>
      <c r="C114" s="2" t="inlineStr">
        <is>
          <t xml:space="preserve">Review Periods › Approval</t>
        </is>
      </c>
      <c r="D114" s="2" t="inlineStr">
        <is>
          <t xml:space="preserve">Approval records approver and date and blocks while required reviews are outstanding.</t>
        </is>
      </c>
      <c r="E114" s="2" t="inlineStr">
        <is>
          <t xml:space="preserve">Not set</t>
        </is>
      </c>
      <c r="F114" s="2" t="inlineStr">
        <is>
          <t xml:space="preserve">Not tested</t>
        </is>
      </c>
      <c r="G114" s="2" t="inlineStr">
        <is>
          <t xml:space="preserve">Pending</t>
        </is>
      </c>
      <c r="H114" s="2" t="inlineStr">
        <is>
          <t xml:space="preserve"/>
        </is>
      </c>
      <c r="I114" s="2" t="inlineStr">
        <is>
          <t xml:space="preserve"/>
        </is>
      </c>
      <c r="J114" s="2" t="inlineStr">
        <is>
          <t xml:space="preserve"/>
        </is>
      </c>
      <c r="K114" s="2" t="inlineStr">
        <is>
          <t xml:space="preserve"/>
        </is>
      </c>
      <c r="L114" s="2" t="inlineStr">
        <is>
          <t xml:space="preserve"/>
        </is>
      </c>
      <c r="M114" s="2" t="inlineStr">
        <is>
          <t xml:space="preserve"/>
        </is>
      </c>
      <c r="N114" s="2" t="inlineStr">
        <is>
          <t xml:space="preserve"/>
        </is>
      </c>
      <c r="O114" s="2" t="inlineStr">
        <is>
          <t xml:space="preserve"/>
        </is>
      </c>
      <c r="P114" s="2" t="inlineStr">
        <is>
          <t xml:space="preserve">docs/features/SOD.md; frontend/tests/sod-periods.spec.ts</t>
        </is>
      </c>
      <c r="Q114" s="2" t="inlineStr">
        <is>
          <t xml:space="preserve">Not assessed</t>
        </is>
      </c>
      <c r="R114" s="2" t="inlineStr">
        <is>
          <t xml:space="preserve">Unclassified</t>
        </is>
      </c>
      <c r="S114" s="2" t="inlineStr">
        <is>
          <t xml:space="preserve">Not started</t>
        </is>
      </c>
    </row>
    <row r="115">
      <c r="A115" s="2" t="inlineStr">
        <is>
          <t xml:space="preserve">SODP-005</t>
        </is>
      </c>
      <c r="B115" s="2" t="inlineStr">
        <is>
          <t xml:space="preserve">Review Periods</t>
        </is>
      </c>
      <c r="C115" s="2" t="inlineStr">
        <is>
          <t xml:space="preserve">Review Periods › Frozen contexts</t>
        </is>
      </c>
      <c r="D115" s="2" t="inlineStr">
        <is>
          <t xml:space="preserve">Frozen snapshots are read-only and never change when sources refresh.</t>
        </is>
      </c>
      <c r="E115" s="2" t="inlineStr">
        <is>
          <t xml:space="preserve">Not set</t>
        </is>
      </c>
      <c r="F115" s="2" t="inlineStr">
        <is>
          <t xml:space="preserve">Not tested</t>
        </is>
      </c>
      <c r="G115" s="2" t="inlineStr">
        <is>
          <t xml:space="preserve">Pending</t>
        </is>
      </c>
      <c r="H115" s="2" t="inlineStr">
        <is>
          <t xml:space="preserve"/>
        </is>
      </c>
      <c r="I115" s="2" t="inlineStr">
        <is>
          <t xml:space="preserve"/>
        </is>
      </c>
      <c r="J115" s="2" t="inlineStr">
        <is>
          <t xml:space="preserve"/>
        </is>
      </c>
      <c r="K115" s="2" t="inlineStr">
        <is>
          <t xml:space="preserve"/>
        </is>
      </c>
      <c r="L115" s="2" t="inlineStr">
        <is>
          <t xml:space="preserve"/>
        </is>
      </c>
      <c r="M115" s="2" t="inlineStr">
        <is>
          <t xml:space="preserve"/>
        </is>
      </c>
      <c r="N115" s="2" t="inlineStr">
        <is>
          <t xml:space="preserve"/>
        </is>
      </c>
      <c r="O115" s="2" t="inlineStr">
        <is>
          <t xml:space="preserve"/>
        </is>
      </c>
      <c r="P115" s="2" t="inlineStr">
        <is>
          <t xml:space="preserve">docs/features/SOD.md; frontend/tests/sod-periods.spec.ts</t>
        </is>
      </c>
      <c r="Q115" s="2" t="inlineStr">
        <is>
          <t xml:space="preserve">Not assessed</t>
        </is>
      </c>
      <c r="R115" s="2" t="inlineStr">
        <is>
          <t xml:space="preserve">Unclassified</t>
        </is>
      </c>
      <c r="S115" s="2" t="inlineStr">
        <is>
          <t xml:space="preserve">Not started</t>
        </is>
      </c>
    </row>
    <row r="116">
      <c r="A116" s="2" t="inlineStr">
        <is>
          <t xml:space="preserve">SODP-006</t>
        </is>
      </c>
      <c r="B116" s="2" t="inlineStr">
        <is>
          <t xml:space="preserve">Review Periods</t>
        </is>
      </c>
      <c r="C116" s="2" t="inlineStr">
        <is>
          <t xml:space="preserve">Review Periods › Delete review period dialog</t>
        </is>
      </c>
      <c r="D116" s="2" t="inlineStr">
        <is>
          <t xml:space="preserve">Recorded by and the period-name confirmation share a responsive grid row, consequences stay full width, Cancel and Delete permanently carry icons, and the confirmation, audit and snapshot rules are unchanged.</t>
        </is>
      </c>
      <c r="E116" s="2" t="inlineStr">
        <is>
          <t xml:space="preserve">Not set</t>
        </is>
      </c>
      <c r="F116" s="2" t="inlineStr">
        <is>
          <t xml:space="preserve">Not tested</t>
        </is>
      </c>
      <c r="G116" s="2" t="inlineStr">
        <is>
          <t xml:space="preserve">Pending</t>
        </is>
      </c>
      <c r="H116" s="2" t="inlineStr">
        <is>
          <t xml:space="preserve">frontend/tests/sod-periods-dialogs.spec.ts; frontend/tests/sod-periods.spec.ts</t>
        </is>
      </c>
      <c r="I116" s="2" t="inlineStr">
        <is>
          <t xml:space="preserve"/>
        </is>
      </c>
      <c r="J116" s="2" t="inlineStr">
        <is>
          <t xml:space="preserve"/>
        </is>
      </c>
      <c r="K116" s="2" t="inlineStr">
        <is>
          <t xml:space="preserve"/>
        </is>
      </c>
      <c r="L116" s="2" t="inlineStr">
        <is>
          <t xml:space="preserve"/>
        </is>
      </c>
      <c r="M116" s="2" t="inlineStr">
        <is>
          <t xml:space="preserve"/>
        </is>
      </c>
      <c r="N116" s="2" t="inlineStr">
        <is>
          <t xml:space="preserve"/>
        </is>
      </c>
      <c r="O116" s="2" t="inlineStr">
        <is>
          <t xml:space="preserve"/>
        </is>
      </c>
      <c r="P116" s="2" t="inlineStr">
        <is>
          <t xml:space="preserve">frontend/src/components/Sod/SodPeriods.tsx</t>
        </is>
      </c>
      <c r="Q116" s="2" t="inlineStr">
        <is>
          <t xml:space="preserve">Implemented</t>
        </is>
      </c>
      <c r="R116" s="2" t="inlineStr">
        <is>
          <t xml:space="preserve">Unclassified</t>
        </is>
      </c>
      <c r="S116" s="2" t="inlineStr">
        <is>
          <t xml:space="preserve">Not started</t>
        </is>
      </c>
    </row>
    <row r="117">
      <c r="A117" s="2" t="inlineStr">
        <is>
          <t xml:space="preserve">SODP-007</t>
        </is>
      </c>
      <c r="B117" s="2" t="inlineStr">
        <is>
          <t xml:space="preserve">Review Periods</t>
        </is>
      </c>
      <c r="C117" s="2" t="inlineStr">
        <is>
          <t xml:space="preserve">Review Periods › Create review period dialog</t>
        </is>
      </c>
      <c r="D117" s="2" t="inlineStr">
        <is>
          <t xml:space="preserve">Name and evaluation date, then period start and end, in a responsive two-column grid with logical tab order, single column on narrow screens and icons on Cancel and Capture review period; validation and snapshot creation are unchanged.</t>
        </is>
      </c>
      <c r="E117" s="2" t="inlineStr">
        <is>
          <t xml:space="preserve">Not set</t>
        </is>
      </c>
      <c r="F117" s="2" t="inlineStr">
        <is>
          <t xml:space="preserve">Not tested</t>
        </is>
      </c>
      <c r="G117" s="2" t="inlineStr">
        <is>
          <t xml:space="preserve">Pending</t>
        </is>
      </c>
      <c r="H117" s="2" t="inlineStr">
        <is>
          <t xml:space="preserve">frontend/tests/sod-periods-dialogs.spec.ts</t>
        </is>
      </c>
      <c r="I117" s="2" t="inlineStr">
        <is>
          <t xml:space="preserve"/>
        </is>
      </c>
      <c r="J117" s="2" t="inlineStr">
        <is>
          <t xml:space="preserve"/>
        </is>
      </c>
      <c r="K117" s="2" t="inlineStr">
        <is>
          <t xml:space="preserve"/>
        </is>
      </c>
      <c r="L117" s="2" t="inlineStr">
        <is>
          <t xml:space="preserve"/>
        </is>
      </c>
      <c r="M117" s="2" t="inlineStr">
        <is>
          <t xml:space="preserve"/>
        </is>
      </c>
      <c r="N117" s="2" t="inlineStr">
        <is>
          <t xml:space="preserve"/>
        </is>
      </c>
      <c r="O117" s="2" t="inlineStr">
        <is>
          <t xml:space="preserve"/>
        </is>
      </c>
      <c r="P117" s="2" t="inlineStr">
        <is>
          <t xml:space="preserve">frontend/src/components/Sod/SodPeriods.tsx</t>
        </is>
      </c>
      <c r="Q117" s="2" t="inlineStr">
        <is>
          <t xml:space="preserve">Implemented</t>
        </is>
      </c>
      <c r="R117" s="2" t="inlineStr">
        <is>
          <t xml:space="preserve">Unclassified</t>
        </is>
      </c>
      <c r="S117" s="2" t="inlineStr">
        <is>
          <t xml:space="preserve">Not started</t>
        </is>
      </c>
    </row>
    <row r="118">
      <c r="A118" s="2" t="inlineStr">
        <is>
          <t xml:space="preserve">SODP-008</t>
        </is>
      </c>
      <c r="B118" s="2" t="inlineStr">
        <is>
          <t xml:space="preserve">Review Periods</t>
        </is>
      </c>
      <c r="C118" s="2" t="inlineStr">
        <is>
          <t xml:space="preserve">Review Periods › Toolbar: Compare periods and archived toggle</t>
        </is>
      </c>
      <c r="D118" s="2" t="inlineStr">
        <is>
          <t xml:space="preserve">Compare periods stays disabled with fewer than two eligible periods and explains why through a tooltip and an accessible description (no inline text); Show archived periods is a visible toggle button with an archive icon that only changes visibility.</t>
        </is>
      </c>
      <c r="E118" s="2" t="inlineStr">
        <is>
          <t xml:space="preserve">Not set</t>
        </is>
      </c>
      <c r="F118" s="2" t="inlineStr">
        <is>
          <t xml:space="preserve">Not tested</t>
        </is>
      </c>
      <c r="G118" s="2" t="inlineStr">
        <is>
          <t xml:space="preserve">Pending</t>
        </is>
      </c>
      <c r="H118" s="2" t="inlineStr">
        <is>
          <t xml:space="preserve">frontend/tests/sod-periods-dialogs.spec.ts</t>
        </is>
      </c>
      <c r="I118" s="2" t="inlineStr">
        <is>
          <t xml:space="preserve"/>
        </is>
      </c>
      <c r="J118" s="2" t="inlineStr">
        <is>
          <t xml:space="preserve"/>
        </is>
      </c>
      <c r="K118" s="2" t="inlineStr">
        <is>
          <t xml:space="preserve"/>
        </is>
      </c>
      <c r="L118" s="2" t="inlineStr">
        <is>
          <t xml:space="preserve"/>
        </is>
      </c>
      <c r="M118" s="2" t="inlineStr">
        <is>
          <t xml:space="preserve"/>
        </is>
      </c>
      <c r="N118" s="2" t="inlineStr">
        <is>
          <t xml:space="preserve"/>
        </is>
      </c>
      <c r="O118" s="2" t="inlineStr">
        <is>
          <t xml:space="preserve"/>
        </is>
      </c>
      <c r="P118" s="2" t="inlineStr">
        <is>
          <t xml:space="preserve">frontend/src/components/Sod/SodPeriods.tsx</t>
        </is>
      </c>
      <c r="Q118" s="2" t="inlineStr">
        <is>
          <t xml:space="preserve">Implemented</t>
        </is>
      </c>
      <c r="R118" s="2" t="inlineStr">
        <is>
          <t xml:space="preserve">Unclassified</t>
        </is>
      </c>
      <c r="S118" s="2" t="inlineStr">
        <is>
          <t xml:space="preserve">Not started</t>
        </is>
      </c>
    </row>
    <row r="119">
      <c r="A119" s="2" t="inlineStr">
        <is>
          <t xml:space="preserve">SODP-009</t>
        </is>
      </c>
      <c r="B119" s="2" t="inlineStr">
        <is>
          <t xml:space="preserve">Review Periods</t>
        </is>
      </c>
      <c r="C119" s="2" t="inlineStr">
        <is>
          <t xml:space="preserve">Review Periods › Active period badge spacing</t>
        </is>
      </c>
      <c r="D119" s="2" t="inlineStr">
        <is>
          <t xml:space="preserve">The Active period badge sits about 8 px after the period name and wraps cleanly on small screens.</t>
        </is>
      </c>
      <c r="E119" s="2" t="inlineStr">
        <is>
          <t xml:space="preserve">Not set</t>
        </is>
      </c>
      <c r="F119" s="2" t="inlineStr">
        <is>
          <t xml:space="preserve">Not tested</t>
        </is>
      </c>
      <c r="G119" s="2" t="inlineStr">
        <is>
          <t xml:space="preserve">Pending</t>
        </is>
      </c>
      <c r="H119" s="2" t="inlineStr">
        <is>
          <t xml:space="preserve">frontend/tests/sod-reviews-r6.spec.ts (375, 800 and 1280 px)</t>
        </is>
      </c>
      <c r="I119" s="2" t="inlineStr">
        <is>
          <t xml:space="preserve"/>
        </is>
      </c>
      <c r="J119" s="2" t="inlineStr">
        <is>
          <t xml:space="preserve"/>
        </is>
      </c>
      <c r="K119" s="2" t="inlineStr">
        <is>
          <t xml:space="preserve"/>
        </is>
      </c>
      <c r="L119" s="2" t="inlineStr">
        <is>
          <t xml:space="preserve"/>
        </is>
      </c>
      <c r="M119" s="2" t="inlineStr">
        <is>
          <t xml:space="preserve"/>
        </is>
      </c>
      <c r="N119" s="2" t="inlineStr">
        <is>
          <t xml:space="preserve">Check with real period names, long and short.</t>
        </is>
      </c>
      <c r="O119" s="2" t="inlineStr">
        <is>
          <t xml:space="preserve">None known.</t>
        </is>
      </c>
      <c r="P119" s="2" t="inlineStr">
        <is>
          <t xml:space="preserve">frontend/src/components/Sod/SodPeriods.tsx; frontend/src/styles/components.css</t>
        </is>
      </c>
      <c r="Q119" s="2" t="inlineStr">
        <is>
          <t xml:space="preserve">Implemented</t>
        </is>
      </c>
      <c r="R119" s="2" t="inlineStr">
        <is>
          <t xml:space="preserve">Unclassified</t>
        </is>
      </c>
      <c r="S119" s="2" t="inlineStr">
        <is>
          <t xml:space="preserve">Not started</t>
        </is>
      </c>
    </row>
    <row r="120">
      <c r="A120" s="2" t="inlineStr">
        <is>
          <t xml:space="preserve">SODT-001</t>
        </is>
      </c>
      <c r="B120" s="2" t="inlineStr">
        <is>
          <t xml:space="preserve">SoD Reports</t>
        </is>
      </c>
      <c r="C120" s="2" t="inlineStr">
        <is>
          <t xml:space="preserve">Reports › Preview</t>
        </is>
      </c>
      <c r="D120" s="2" t="inlineStr">
        <is>
          <t xml:space="preserve">Preview renders the frozen report model with counts that match the pages.</t>
        </is>
      </c>
      <c r="E120" s="2" t="inlineStr">
        <is>
          <t xml:space="preserve">Not set</t>
        </is>
      </c>
      <c r="F120" s="2" t="inlineStr">
        <is>
          <t xml:space="preserve">Not tested</t>
        </is>
      </c>
      <c r="G120" s="2" t="inlineStr">
        <is>
          <t xml:space="preserve">Pending</t>
        </is>
      </c>
      <c r="H120" s="2" t="inlineStr">
        <is>
          <t xml:space="preserve"/>
        </is>
      </c>
      <c r="I120" s="2" t="inlineStr">
        <is>
          <t xml:space="preserve"/>
        </is>
      </c>
      <c r="J120" s="2" t="inlineStr">
        <is>
          <t xml:space="preserve"/>
        </is>
      </c>
      <c r="K120" s="2" t="inlineStr">
        <is>
          <t xml:space="preserve"/>
        </is>
      </c>
      <c r="L120" s="2" t="inlineStr">
        <is>
          <t xml:space="preserve"/>
        </is>
      </c>
      <c r="M120" s="2" t="inlineStr">
        <is>
          <t xml:space="preserve"/>
        </is>
      </c>
      <c r="N120" s="2" t="inlineStr">
        <is>
          <t xml:space="preserve"/>
        </is>
      </c>
      <c r="O120" s="2" t="inlineStr">
        <is>
          <t xml:space="preserve"/>
        </is>
      </c>
      <c r="P120" s="2" t="inlineStr">
        <is>
          <t xml:space="preserve">docs/features/SOD.md; frontend/tests/sod-reports.spec.ts</t>
        </is>
      </c>
      <c r="Q120" s="2" t="inlineStr">
        <is>
          <t xml:space="preserve">Not assessed</t>
        </is>
      </c>
      <c r="R120" s="2" t="inlineStr">
        <is>
          <t xml:space="preserve">Unclassified</t>
        </is>
      </c>
      <c r="S120" s="2" t="inlineStr">
        <is>
          <t xml:space="preserve">Not started</t>
        </is>
      </c>
    </row>
    <row r="121">
      <c r="A121" s="2" t="inlineStr">
        <is>
          <t xml:space="preserve">SODT-002</t>
        </is>
      </c>
      <c r="B121" s="2" t="inlineStr">
        <is>
          <t xml:space="preserve">SoD Reports</t>
        </is>
      </c>
      <c r="C121" s="2" t="inlineStr">
        <is>
          <t xml:space="preserve">Reports › DOCX export</t>
        </is>
      </c>
      <c r="D121" s="2" t="inlineStr">
        <is>
          <t xml:space="preserve">DOCX export opens in Word with the previewed content.</t>
        </is>
      </c>
      <c r="E121" s="2" t="inlineStr">
        <is>
          <t xml:space="preserve">Not set</t>
        </is>
      </c>
      <c r="F121" s="2" t="inlineStr">
        <is>
          <t xml:space="preserve">Not tested</t>
        </is>
      </c>
      <c r="G121" s="2" t="inlineStr">
        <is>
          <t xml:space="preserve">Pending</t>
        </is>
      </c>
      <c r="H121" s="2" t="inlineStr">
        <is>
          <t xml:space="preserve"/>
        </is>
      </c>
      <c r="I121" s="2" t="inlineStr">
        <is>
          <t xml:space="preserve"/>
        </is>
      </c>
      <c r="J121" s="2" t="inlineStr">
        <is>
          <t xml:space="preserve"/>
        </is>
      </c>
      <c r="K121" s="2" t="inlineStr">
        <is>
          <t xml:space="preserve"/>
        </is>
      </c>
      <c r="L121" s="2" t="inlineStr">
        <is>
          <t xml:space="preserve"/>
        </is>
      </c>
      <c r="M121" s="2" t="inlineStr">
        <is>
          <t xml:space="preserve"/>
        </is>
      </c>
      <c r="N121" s="2" t="inlineStr">
        <is>
          <t xml:space="preserve"/>
        </is>
      </c>
      <c r="O121" s="2" t="inlineStr">
        <is>
          <t xml:space="preserve"/>
        </is>
      </c>
      <c r="P121" s="2" t="inlineStr">
        <is>
          <t xml:space="preserve">docs/features/SOD.md; frontend/tests/sod-reports.spec.ts</t>
        </is>
      </c>
      <c r="Q121" s="2" t="inlineStr">
        <is>
          <t xml:space="preserve">Not assessed</t>
        </is>
      </c>
      <c r="R121" s="2" t="inlineStr">
        <is>
          <t xml:space="preserve">Unclassified</t>
        </is>
      </c>
      <c r="S121" s="2" t="inlineStr">
        <is>
          <t xml:space="preserve">Not started</t>
        </is>
      </c>
    </row>
    <row r="122">
      <c r="A122" s="2" t="inlineStr">
        <is>
          <t xml:space="preserve">SODT-003</t>
        </is>
      </c>
      <c r="B122" s="2" t="inlineStr">
        <is>
          <t xml:space="preserve">SoD Reports</t>
        </is>
      </c>
      <c r="C122" s="2" t="inlineStr">
        <is>
          <t xml:space="preserve">Reports › PDF export</t>
        </is>
      </c>
      <c r="D122" s="2" t="inlineStr">
        <is>
          <t xml:space="preserve">PDF export contains the previewed content with readable tables.</t>
        </is>
      </c>
      <c r="E122" s="2" t="inlineStr">
        <is>
          <t xml:space="preserve">Not set</t>
        </is>
      </c>
      <c r="F122" s="2" t="inlineStr">
        <is>
          <t xml:space="preserve">Not tested</t>
        </is>
      </c>
      <c r="G122" s="2" t="inlineStr">
        <is>
          <t xml:space="preserve">Pending</t>
        </is>
      </c>
      <c r="H122" s="2" t="inlineStr">
        <is>
          <t xml:space="preserve"/>
        </is>
      </c>
      <c r="I122" s="2" t="inlineStr">
        <is>
          <t xml:space="preserve"/>
        </is>
      </c>
      <c r="J122" s="2" t="inlineStr">
        <is>
          <t xml:space="preserve"/>
        </is>
      </c>
      <c r="K122" s="2" t="inlineStr">
        <is>
          <t xml:space="preserve"/>
        </is>
      </c>
      <c r="L122" s="2" t="inlineStr">
        <is>
          <t xml:space="preserve"/>
        </is>
      </c>
      <c r="M122" s="2" t="inlineStr">
        <is>
          <t xml:space="preserve"/>
        </is>
      </c>
      <c r="N122" s="2" t="inlineStr">
        <is>
          <t xml:space="preserve"/>
        </is>
      </c>
      <c r="O122" s="2" t="inlineStr">
        <is>
          <t xml:space="preserve"/>
        </is>
      </c>
      <c r="P122" s="2" t="inlineStr">
        <is>
          <t xml:space="preserve">docs/features/SOD.md; frontend/tests/sod-reports.spec.ts</t>
        </is>
      </c>
      <c r="Q122" s="2" t="inlineStr">
        <is>
          <t xml:space="preserve">Not assessed</t>
        </is>
      </c>
      <c r="R122" s="2" t="inlineStr">
        <is>
          <t xml:space="preserve">Unclassified</t>
        </is>
      </c>
      <c r="S122" s="2" t="inlineStr">
        <is>
          <t xml:space="preserve">Not started</t>
        </is>
      </c>
    </row>
    <row r="123">
      <c r="A123" s="2" t="inlineStr">
        <is>
          <t xml:space="preserve">SODT-004</t>
        </is>
      </c>
      <c r="B123" s="2" t="inlineStr">
        <is>
          <t xml:space="preserve">SoD Reports</t>
        </is>
      </c>
      <c r="C123" s="2" t="inlineStr">
        <is>
          <t xml:space="preserve">Reports › Remediation report</t>
        </is>
      </c>
      <c r="D123" s="2" t="inlineStr">
        <is>
          <t xml:space="preserve">The remediation report lists actions with verification text.</t>
        </is>
      </c>
      <c r="E123" s="2" t="inlineStr">
        <is>
          <t xml:space="preserve">Not set</t>
        </is>
      </c>
      <c r="F123" s="2" t="inlineStr">
        <is>
          <t xml:space="preserve">Not tested</t>
        </is>
      </c>
      <c r="G123" s="2" t="inlineStr">
        <is>
          <t xml:space="preserve">Pending</t>
        </is>
      </c>
      <c r="H123" s="2" t="inlineStr">
        <is>
          <t xml:space="preserve"/>
        </is>
      </c>
      <c r="I123" s="2" t="inlineStr">
        <is>
          <t xml:space="preserve"/>
        </is>
      </c>
      <c r="J123" s="2" t="inlineStr">
        <is>
          <t xml:space="preserve"/>
        </is>
      </c>
      <c r="K123" s="2" t="inlineStr">
        <is>
          <t xml:space="preserve"/>
        </is>
      </c>
      <c r="L123" s="2" t="inlineStr">
        <is>
          <t xml:space="preserve"/>
        </is>
      </c>
      <c r="M123" s="2" t="inlineStr">
        <is>
          <t xml:space="preserve"/>
        </is>
      </c>
      <c r="N123" s="2" t="inlineStr">
        <is>
          <t xml:space="preserve"/>
        </is>
      </c>
      <c r="O123" s="2" t="inlineStr">
        <is>
          <t xml:space="preserve"/>
        </is>
      </c>
      <c r="P123" s="2" t="inlineStr">
        <is>
          <t xml:space="preserve">docs/features/SOD.md; frontend/tests/sod-reports.spec.ts</t>
        </is>
      </c>
      <c r="Q123" s="2" t="inlineStr">
        <is>
          <t xml:space="preserve">Not assessed</t>
        </is>
      </c>
      <c r="R123" s="2" t="inlineStr">
        <is>
          <t xml:space="preserve">Unclassified</t>
        </is>
      </c>
      <c r="S123" s="2" t="inlineStr">
        <is>
          <t xml:space="preserve">Not started</t>
        </is>
      </c>
    </row>
    <row r="124">
      <c r="A124" s="2" t="inlineStr">
        <is>
          <t xml:space="preserve">SET-001</t>
        </is>
      </c>
      <c r="B124" s="2" t="inlineStr">
        <is>
          <t xml:space="preserve">Settings and Data Sources</t>
        </is>
      </c>
      <c r="C124" s="2" t="inlineStr">
        <is>
          <t xml:space="preserve">Settings › Organization &amp; SAP System</t>
        </is>
      </c>
      <c r="D124" s="2" t="inlineStr">
        <is>
          <t xml:space="preserve">Organization and system labels save and appear in the header and footer.</t>
        </is>
      </c>
      <c r="E124" s="2" t="inlineStr">
        <is>
          <t xml:space="preserve">Not set</t>
        </is>
      </c>
      <c r="F124" s="2" t="inlineStr">
        <is>
          <t xml:space="preserve">Not tested</t>
        </is>
      </c>
      <c r="G124" s="2" t="inlineStr">
        <is>
          <t xml:space="preserve">Pending</t>
        </is>
      </c>
      <c r="H124" s="2" t="inlineStr">
        <is>
          <t xml:space="preserve"/>
        </is>
      </c>
      <c r="I124" s="2" t="inlineStr">
        <is>
          <t xml:space="preserve"/>
        </is>
      </c>
      <c r="J124" s="2" t="inlineStr">
        <is>
          <t xml:space="preserve"/>
        </is>
      </c>
      <c r="K124" s="2" t="inlineStr">
        <is>
          <t xml:space="preserve"/>
        </is>
      </c>
      <c r="L124" s="2" t="inlineStr">
        <is>
          <t xml:space="preserve"/>
        </is>
      </c>
      <c r="M124" s="2" t="inlineStr">
        <is>
          <t xml:space="preserve"/>
        </is>
      </c>
      <c r="N124" s="2" t="inlineStr">
        <is>
          <t xml:space="preserve"/>
        </is>
      </c>
      <c r="O124" s="2" t="inlineStr">
        <is>
          <t xml:space="preserve"/>
        </is>
      </c>
      <c r="P124" s="2" t="inlineStr">
        <is>
          <t xml:space="preserve">docs/architecture/APPEARANCE.md; frontend/tests/settings-refinement.spec.ts</t>
        </is>
      </c>
      <c r="Q124" s="2" t="inlineStr">
        <is>
          <t xml:space="preserve">Not assessed</t>
        </is>
      </c>
      <c r="R124" s="2" t="inlineStr">
        <is>
          <t xml:space="preserve">Unclassified</t>
        </is>
      </c>
      <c r="S124" s="2" t="inlineStr">
        <is>
          <t xml:space="preserve">Not started</t>
        </is>
      </c>
    </row>
    <row r="125">
      <c r="A125" s="2" t="inlineStr">
        <is>
          <t xml:space="preserve">SET-002</t>
        </is>
      </c>
      <c r="B125" s="2" t="inlineStr">
        <is>
          <t xml:space="preserve">Settings and Data Sources</t>
        </is>
      </c>
      <c r="C125" s="2" t="inlineStr">
        <is>
          <t xml:space="preserve">Settings › Appearance &amp; Branding</t>
        </is>
      </c>
      <c r="D125" s="2" t="inlineStr">
        <is>
          <t xml:space="preserve">Theme presets and branding apply without a reload and can be cancelled.</t>
        </is>
      </c>
      <c r="E125" s="2" t="inlineStr">
        <is>
          <t xml:space="preserve">Not set</t>
        </is>
      </c>
      <c r="F125" s="2" t="inlineStr">
        <is>
          <t xml:space="preserve">Not tested</t>
        </is>
      </c>
      <c r="G125" s="2" t="inlineStr">
        <is>
          <t xml:space="preserve">Pending</t>
        </is>
      </c>
      <c r="H125" s="2" t="inlineStr">
        <is>
          <t xml:space="preserve"/>
        </is>
      </c>
      <c r="I125" s="2" t="inlineStr">
        <is>
          <t xml:space="preserve"/>
        </is>
      </c>
      <c r="J125" s="2" t="inlineStr">
        <is>
          <t xml:space="preserve"/>
        </is>
      </c>
      <c r="K125" s="2" t="inlineStr">
        <is>
          <t xml:space="preserve"/>
        </is>
      </c>
      <c r="L125" s="2" t="inlineStr">
        <is>
          <t xml:space="preserve"/>
        </is>
      </c>
      <c r="M125" s="2" t="inlineStr">
        <is>
          <t xml:space="preserve"/>
        </is>
      </c>
      <c r="N125" s="2" t="inlineStr">
        <is>
          <t xml:space="preserve"/>
        </is>
      </c>
      <c r="O125" s="2" t="inlineStr">
        <is>
          <t xml:space="preserve"/>
        </is>
      </c>
      <c r="P125" s="2" t="inlineStr">
        <is>
          <t xml:space="preserve">docs/architecture/APPEARANCE.md; frontend/tests/settings-runtime-theme.spec.ts</t>
        </is>
      </c>
      <c r="Q125" s="2" t="inlineStr">
        <is>
          <t xml:space="preserve">Not assessed</t>
        </is>
      </c>
      <c r="R125" s="2" t="inlineStr">
        <is>
          <t xml:space="preserve">Unclassified</t>
        </is>
      </c>
      <c r="S125" s="2" t="inlineStr">
        <is>
          <t xml:space="preserve">Not started</t>
        </is>
      </c>
    </row>
    <row r="126">
      <c r="A126" s="2" t="inlineStr">
        <is>
          <t xml:space="preserve">SET-003</t>
        </is>
      </c>
      <c r="B126" s="2" t="inlineStr">
        <is>
          <t xml:space="preserve">Settings and Data Sources</t>
        </is>
      </c>
      <c r="C126" s="2" t="inlineStr">
        <is>
          <t xml:space="preserve">Settings › Data Sources</t>
        </is>
      </c>
      <c r="D126" s="2" t="inlineStr">
        <is>
          <t xml:space="preserve">Each source selects a CSV, shows mode and status and imports with validation feedback.</t>
        </is>
      </c>
      <c r="E126" s="2" t="inlineStr">
        <is>
          <t xml:space="preserve">Not set</t>
        </is>
      </c>
      <c r="F126" s="2" t="inlineStr">
        <is>
          <t xml:space="preserve">Not tested</t>
        </is>
      </c>
      <c r="G126" s="2" t="inlineStr">
        <is>
          <t xml:space="preserve">Pending</t>
        </is>
      </c>
      <c r="H126" s="2" t="inlineStr">
        <is>
          <t xml:space="preserve"/>
        </is>
      </c>
      <c r="I126" s="2" t="inlineStr">
        <is>
          <t xml:space="preserve"/>
        </is>
      </c>
      <c r="J126" s="2" t="inlineStr">
        <is>
          <t xml:space="preserve"/>
        </is>
      </c>
      <c r="K126" s="2" t="inlineStr">
        <is>
          <t xml:space="preserve"/>
        </is>
      </c>
      <c r="L126" s="2" t="inlineStr">
        <is>
          <t xml:space="preserve"/>
        </is>
      </c>
      <c r="M126" s="2" t="inlineStr">
        <is>
          <t xml:space="preserve"/>
        </is>
      </c>
      <c r="N126" s="2" t="inlineStr">
        <is>
          <t xml:space="preserve"/>
        </is>
      </c>
      <c r="O126" s="2" t="inlineStr">
        <is>
          <t xml:space="preserve"/>
        </is>
      </c>
      <c r="P126" s="2" t="inlineStr">
        <is>
          <t xml:space="preserve">docs/data/IMPORT_AND_REFRESH.md; frontend/tests/csv-lifecycle.spec.ts</t>
        </is>
      </c>
      <c r="Q126" s="2" t="inlineStr">
        <is>
          <t xml:space="preserve">Not assessed</t>
        </is>
      </c>
      <c r="R126" s="2" t="inlineStr">
        <is>
          <t xml:space="preserve">Unclassified</t>
        </is>
      </c>
      <c r="S126" s="2" t="inlineStr">
        <is>
          <t xml:space="preserve">Not started</t>
        </is>
      </c>
    </row>
    <row r="127">
      <c r="A127" s="2" t="inlineStr">
        <is>
          <t xml:space="preserve">SET-006</t>
        </is>
      </c>
      <c r="B127" s="2" t="inlineStr">
        <is>
          <t xml:space="preserve">Settings and Data Sources</t>
        </is>
      </c>
      <c r="C127" s="2" t="inlineStr">
        <is>
          <t xml:space="preserve">Settings › Features</t>
        </is>
      </c>
      <c r="D127" s="2" t="inlineStr">
        <is>
          <t xml:space="preserve">Feature toggles (User-Role Mapping, SoD, Employee Directory) take effect everywhere and explain dependencies.</t>
        </is>
      </c>
      <c r="E127" s="2" t="inlineStr">
        <is>
          <t xml:space="preserve">Not set</t>
        </is>
      </c>
      <c r="F127" s="2" t="inlineStr">
        <is>
          <t xml:space="preserve">Not tested</t>
        </is>
      </c>
      <c r="G127" s="2" t="inlineStr">
        <is>
          <t xml:space="preserve">Pending</t>
        </is>
      </c>
      <c r="H127" s="2" t="inlineStr">
        <is>
          <t xml:space="preserve"/>
        </is>
      </c>
      <c r="I127" s="2" t="inlineStr">
        <is>
          <t xml:space="preserve"/>
        </is>
      </c>
      <c r="J127" s="2" t="inlineStr">
        <is>
          <t xml:space="preserve"/>
        </is>
      </c>
      <c r="K127" s="2" t="inlineStr">
        <is>
          <t xml:space="preserve"/>
        </is>
      </c>
      <c r="L127" s="2" t="inlineStr">
        <is>
          <t xml:space="preserve"/>
        </is>
      </c>
      <c r="M127" s="2" t="inlineStr">
        <is>
          <t xml:space="preserve"/>
        </is>
      </c>
      <c r="N127" s="2" t="inlineStr">
        <is>
          <t xml:space="preserve"/>
        </is>
      </c>
      <c r="O127" s="2" t="inlineStr">
        <is>
          <t xml:space="preserve"/>
        </is>
      </c>
      <c r="P127" s="2" t="inlineStr">
        <is>
          <t xml:space="preserve">docs/features/SOD.md; frontend/tests/sod-feature.spec.ts</t>
        </is>
      </c>
      <c r="Q127" s="2" t="inlineStr">
        <is>
          <t xml:space="preserve">Not assessed</t>
        </is>
      </c>
      <c r="R127" s="2" t="inlineStr">
        <is>
          <t xml:space="preserve">Unclassified</t>
        </is>
      </c>
      <c r="S127" s="2" t="inlineStr">
        <is>
          <t xml:space="preserve">Not started</t>
        </is>
      </c>
    </row>
    <row r="128">
      <c r="A128" s="2" t="inlineStr">
        <is>
          <t xml:space="preserve">SET-007</t>
        </is>
      </c>
      <c r="B128" s="2" t="inlineStr">
        <is>
          <t xml:space="preserve">Settings and Data Sources</t>
        </is>
      </c>
      <c r="C128" s="2" t="inlineStr">
        <is>
          <t xml:space="preserve">Settings › Runtime &amp; Scheduling</t>
        </is>
      </c>
      <c r="D128" s="2" t="inlineStr">
        <is>
          <t xml:space="preserve">Scheduled refresh settings validate and show the last run.</t>
        </is>
      </c>
      <c r="E128" s="2" t="inlineStr">
        <is>
          <t xml:space="preserve">Not set</t>
        </is>
      </c>
      <c r="F128" s="2" t="inlineStr">
        <is>
          <t xml:space="preserve">Not tested</t>
        </is>
      </c>
      <c r="G128" s="2" t="inlineStr">
        <is>
          <t xml:space="preserve">Pending</t>
        </is>
      </c>
      <c r="H128" s="2" t="inlineStr">
        <is>
          <t xml:space="preserve"/>
        </is>
      </c>
      <c r="I128" s="2" t="inlineStr">
        <is>
          <t xml:space="preserve"/>
        </is>
      </c>
      <c r="J128" s="2" t="inlineStr">
        <is>
          <t xml:space="preserve"/>
        </is>
      </c>
      <c r="K128" s="2" t="inlineStr">
        <is>
          <t xml:space="preserve"/>
        </is>
      </c>
      <c r="L128" s="2" t="inlineStr">
        <is>
          <t xml:space="preserve"/>
        </is>
      </c>
      <c r="M128" s="2" t="inlineStr">
        <is>
          <t xml:space="preserve"/>
        </is>
      </c>
      <c r="N128" s="2" t="inlineStr">
        <is>
          <t xml:space="preserve"/>
        </is>
      </c>
      <c r="O128" s="2" t="inlineStr">
        <is>
          <t xml:space="preserve"/>
        </is>
      </c>
      <c r="P128" s="2" t="inlineStr">
        <is>
          <t xml:space="preserve">docs/data/IMPORT_AND_REFRESH.md; frontend/tests/scheduled-refresh.spec.ts</t>
        </is>
      </c>
      <c r="Q128" s="2" t="inlineStr">
        <is>
          <t xml:space="preserve">Not assessed</t>
        </is>
      </c>
      <c r="R128" s="2" t="inlineStr">
        <is>
          <t xml:space="preserve">Unclassified</t>
        </is>
      </c>
      <c r="S128" s="2" t="inlineStr">
        <is>
          <t xml:space="preserve">Not started</t>
        </is>
      </c>
    </row>
    <row r="129">
      <c r="A129" s="2" t="inlineStr">
        <is>
          <t xml:space="preserve">SET-008</t>
        </is>
      </c>
      <c r="B129" s="2" t="inlineStr">
        <is>
          <t xml:space="preserve">Settings and Data Sources</t>
        </is>
      </c>
      <c r="C129" s="2" t="inlineStr">
        <is>
          <t xml:space="preserve">Settings › Health &amp; Diagnostics</t>
        </is>
      </c>
      <c r="D129" s="2" t="inlineStr">
        <is>
          <t xml:space="preserve">Application status and Data Source Health cards (3/2/1 columns) report real states with Technical details.</t>
        </is>
      </c>
      <c r="E129" s="2" t="inlineStr">
        <is>
          <t xml:space="preserve">Not set</t>
        </is>
      </c>
      <c r="F129" s="2" t="inlineStr">
        <is>
          <t xml:space="preserve">Not tested</t>
        </is>
      </c>
      <c r="G129" s="2" t="inlineStr">
        <is>
          <t xml:space="preserve">Pending</t>
        </is>
      </c>
      <c r="H129" s="2" t="inlineStr">
        <is>
          <t xml:space="preserve"/>
        </is>
      </c>
      <c r="I129" s="2" t="inlineStr">
        <is>
          <t xml:space="preserve"/>
        </is>
      </c>
      <c r="J129" s="2" t="inlineStr">
        <is>
          <t xml:space="preserve"/>
        </is>
      </c>
      <c r="K129" s="2" t="inlineStr">
        <is>
          <t xml:space="preserve"/>
        </is>
      </c>
      <c r="L129" s="2" t="inlineStr">
        <is>
          <t xml:space="preserve"/>
        </is>
      </c>
      <c r="M129" s="2" t="inlineStr">
        <is>
          <t xml:space="preserve"/>
        </is>
      </c>
      <c r="N129" s="2" t="inlineStr">
        <is>
          <t xml:space="preserve"/>
        </is>
      </c>
      <c r="O129" s="2" t="inlineStr">
        <is>
          <t xml:space="preserve"/>
        </is>
      </c>
      <c r="P129" s="2" t="inlineStr">
        <is>
          <t xml:space="preserve">docs/data/DATA_HEALTH.md; frontend/tests/settings-r2.spec.ts</t>
        </is>
      </c>
      <c r="Q129" s="2" t="inlineStr">
        <is>
          <t xml:space="preserve">Not assessed</t>
        </is>
      </c>
      <c r="R129" s="2" t="inlineStr">
        <is>
          <t xml:space="preserve">Unclassified</t>
        </is>
      </c>
      <c r="S129" s="2" t="inlineStr">
        <is>
          <t xml:space="preserve">Not started</t>
        </is>
      </c>
    </row>
    <row r="130">
      <c r="A130" s="2" t="inlineStr">
        <is>
          <t xml:space="preserve">SET-009</t>
        </is>
      </c>
      <c r="B130" s="2" t="inlineStr">
        <is>
          <t xml:space="preserve">Settings and Data Sources</t>
        </is>
      </c>
      <c r="C130" s="2" t="inlineStr">
        <is>
          <t xml:space="preserve">Settings › Apply and cancel</t>
        </is>
      </c>
      <c r="D130" s="2" t="inlineStr">
        <is>
          <t xml:space="preserve">Apply settings saves once, Cancel discards, and unsaved changes are indicated.</t>
        </is>
      </c>
      <c r="E130" s="2" t="inlineStr">
        <is>
          <t xml:space="preserve">Not set</t>
        </is>
      </c>
      <c r="F130" s="2" t="inlineStr">
        <is>
          <t xml:space="preserve">Not tested</t>
        </is>
      </c>
      <c r="G130" s="2" t="inlineStr">
        <is>
          <t xml:space="preserve">Pending</t>
        </is>
      </c>
      <c r="H130" s="2" t="inlineStr">
        <is>
          <t xml:space="preserve"/>
        </is>
      </c>
      <c r="I130" s="2" t="inlineStr">
        <is>
          <t xml:space="preserve"/>
        </is>
      </c>
      <c r="J130" s="2" t="inlineStr">
        <is>
          <t xml:space="preserve"/>
        </is>
      </c>
      <c r="K130" s="2" t="inlineStr">
        <is>
          <t xml:space="preserve"/>
        </is>
      </c>
      <c r="L130" s="2" t="inlineStr">
        <is>
          <t xml:space="preserve"/>
        </is>
      </c>
      <c r="M130" s="2" t="inlineStr">
        <is>
          <t xml:space="preserve"/>
        </is>
      </c>
      <c r="N130" s="2" t="inlineStr">
        <is>
          <t xml:space="preserve"/>
        </is>
      </c>
      <c r="O130" s="2" t="inlineStr">
        <is>
          <t xml:space="preserve"/>
        </is>
      </c>
      <c r="P130" s="2" t="inlineStr">
        <is>
          <t xml:space="preserve">frontend/tests/settings-refinement.spec.ts</t>
        </is>
      </c>
      <c r="Q130" s="2" t="inlineStr">
        <is>
          <t xml:space="preserve">Not assessed</t>
        </is>
      </c>
      <c r="R130" s="2" t="inlineStr">
        <is>
          <t xml:space="preserve">Unclassified</t>
        </is>
      </c>
      <c r="S130" s="2" t="inlineStr">
        <is>
          <t xml:space="preserve">Not started</t>
        </is>
      </c>
    </row>
    <row r="131">
      <c r="A131" s="2" t="inlineStr">
        <is>
          <t xml:space="preserve">SET-011</t>
        </is>
      </c>
      <c r="B131" s="2" t="inlineStr">
        <is>
          <t xml:space="preserve">Settings and Data Sources</t>
        </is>
      </c>
      <c r="C131" s="2" t="inlineStr">
        <is>
          <t xml:space="preserve">Data Sources and SAP Modules › Visual consistency</t>
        </is>
      </c>
      <c r="D131" s="2" t="inlineStr">
        <is>
          <t xml:space="preserve">Data source and SAP Area configuration use consistent button sizes and icons, label capitalization, spacing, status colors and control styling in both themes and at narrow widths.</t>
        </is>
      </c>
      <c r="E131" s="2" t="inlineStr">
        <is>
          <t xml:space="preserve">Not set</t>
        </is>
      </c>
      <c r="F131" s="2" t="inlineStr">
        <is>
          <t xml:space="preserve">Not tested</t>
        </is>
      </c>
      <c r="G131" s="2" t="inlineStr">
        <is>
          <t xml:space="preserve">Pending</t>
        </is>
      </c>
      <c r="H131" s="2" t="inlineStr">
        <is>
          <t xml:space="preserve">frontend/tests/data-source-browse.spec.ts; frontend/tests/shared-ui-r5.spec.ts; frontend/tests/settings-r2.spec.ts</t>
        </is>
      </c>
      <c r="I131" s="2" t="inlineStr">
        <is>
          <t xml:space="preserve"/>
        </is>
      </c>
      <c r="J131" s="2" t="inlineStr">
        <is>
          <t xml:space="preserve"/>
        </is>
      </c>
      <c r="K131" s="2" t="inlineStr">
        <is>
          <t xml:space="preserve"/>
        </is>
      </c>
      <c r="L131" s="2" t="inlineStr">
        <is>
          <t xml:space="preserve"/>
        </is>
      </c>
      <c r="M131" s="2" t="inlineStr">
        <is>
          <t xml:space="preserve"/>
        </is>
      </c>
      <c r="N131" s="2" t="inlineStr">
        <is>
          <t xml:space="preserve"/>
        </is>
      </c>
      <c r="O131" s="2" t="inlineStr">
        <is>
          <t xml:space="preserve"/>
        </is>
      </c>
      <c r="P131" s="2" t="inlineStr">
        <is>
          <t xml:space="preserve">frontend/src/components/Settings/SourceManager.tsx; frontend/src/components/Settings/ModuleEditor.tsx</t>
        </is>
      </c>
      <c r="Q131" s="2" t="inlineStr">
        <is>
          <t xml:space="preserve">Implemented</t>
        </is>
      </c>
      <c r="R131" s="2" t="inlineStr">
        <is>
          <t xml:space="preserve">Unclassified</t>
        </is>
      </c>
      <c r="S131" s="2" t="inlineStr">
        <is>
          <t xml:space="preserve">Not started</t>
        </is>
      </c>
    </row>
    <row r="132">
      <c r="A132" s="2" t="inlineStr">
        <is>
          <t xml:space="preserve">DATA-001</t>
        </is>
      </c>
      <c r="B132" s="2" t="inlineStr">
        <is>
          <t xml:space="preserve">Settings and Data Sources</t>
        </is>
      </c>
      <c r="C132" s="2" t="inlineStr">
        <is>
          <t xml:space="preserve">Data Sources › Role catalogue import</t>
        </is>
      </c>
      <c r="D132" s="2" t="inlineStr">
        <is>
          <t xml:space="preserve">Role CSV validates required columns, reports rows rejected and activates only valid data.</t>
        </is>
      </c>
      <c r="E132" s="2" t="inlineStr">
        <is>
          <t xml:space="preserve">Not set</t>
        </is>
      </c>
      <c r="F132" s="2" t="inlineStr">
        <is>
          <t xml:space="preserve">Not tested</t>
        </is>
      </c>
      <c r="G132" s="2" t="inlineStr">
        <is>
          <t xml:space="preserve">Pending</t>
        </is>
      </c>
      <c r="H132" s="2" t="inlineStr">
        <is>
          <t xml:space="preserve"/>
        </is>
      </c>
      <c r="I132" s="2" t="inlineStr">
        <is>
          <t xml:space="preserve"/>
        </is>
      </c>
      <c r="J132" s="2" t="inlineStr">
        <is>
          <t xml:space="preserve"/>
        </is>
      </c>
      <c r="K132" s="2" t="inlineStr">
        <is>
          <t xml:space="preserve"/>
        </is>
      </c>
      <c r="L132" s="2" t="inlineStr">
        <is>
          <t xml:space="preserve"/>
        </is>
      </c>
      <c r="M132" s="2" t="inlineStr">
        <is>
          <t xml:space="preserve"/>
        </is>
      </c>
      <c r="N132" s="2" t="inlineStr">
        <is>
          <t xml:space="preserve"/>
        </is>
      </c>
      <c r="O132" s="2" t="inlineStr">
        <is>
          <t xml:space="preserve"/>
        </is>
      </c>
      <c r="P132" s="2" t="inlineStr">
        <is>
          <t xml:space="preserve">docs/data/CSV_SCHEMAS.md; frontend/tests/csv-lifecycle.spec.ts</t>
        </is>
      </c>
      <c r="Q132" s="2" t="inlineStr">
        <is>
          <t xml:space="preserve">Not assessed</t>
        </is>
      </c>
      <c r="R132" s="2" t="inlineStr">
        <is>
          <t xml:space="preserve">Unclassified</t>
        </is>
      </c>
      <c r="S132" s="2" t="inlineStr">
        <is>
          <t xml:space="preserve">Not started</t>
        </is>
      </c>
    </row>
    <row r="133">
      <c r="A133" s="2" t="inlineStr">
        <is>
          <t xml:space="preserve">DATA-002</t>
        </is>
      </c>
      <c r="B133" s="2" t="inlineStr">
        <is>
          <t xml:space="preserve">Settings and Data Sources</t>
        </is>
      </c>
      <c r="C133" s="2" t="inlineStr">
        <is>
          <t xml:space="preserve">Data Sources › User access import</t>
        </is>
      </c>
      <c r="D133" s="2" t="inlineStr">
        <is>
          <t xml:space="preserve">User CSV validates assignments and validity dates and keeps previous data on failure.</t>
        </is>
      </c>
      <c r="E133" s="2" t="inlineStr">
        <is>
          <t xml:space="preserve">Not set</t>
        </is>
      </c>
      <c r="F133" s="2" t="inlineStr">
        <is>
          <t xml:space="preserve">Not tested</t>
        </is>
      </c>
      <c r="G133" s="2" t="inlineStr">
        <is>
          <t xml:space="preserve">Pending</t>
        </is>
      </c>
      <c r="H133" s="2" t="inlineStr">
        <is>
          <t xml:space="preserve"/>
        </is>
      </c>
      <c r="I133" s="2" t="inlineStr">
        <is>
          <t xml:space="preserve"/>
        </is>
      </c>
      <c r="J133" s="2" t="inlineStr">
        <is>
          <t xml:space="preserve"/>
        </is>
      </c>
      <c r="K133" s="2" t="inlineStr">
        <is>
          <t xml:space="preserve"/>
        </is>
      </c>
      <c r="L133" s="2" t="inlineStr">
        <is>
          <t xml:space="preserve"/>
        </is>
      </c>
      <c r="M133" s="2" t="inlineStr">
        <is>
          <t xml:space="preserve"/>
        </is>
      </c>
      <c r="N133" s="2" t="inlineStr">
        <is>
          <t xml:space="preserve"/>
        </is>
      </c>
      <c r="O133" s="2" t="inlineStr">
        <is>
          <t xml:space="preserve"/>
        </is>
      </c>
      <c r="P133" s="2" t="inlineStr">
        <is>
          <t xml:space="preserve">docs/data/CSV_SCHEMAS.md; frontend/tests/csv-lifecycle.spec.ts</t>
        </is>
      </c>
      <c r="Q133" s="2" t="inlineStr">
        <is>
          <t xml:space="preserve">Not assessed</t>
        </is>
      </c>
      <c r="R133" s="2" t="inlineStr">
        <is>
          <t xml:space="preserve">Unclassified</t>
        </is>
      </c>
      <c r="S133" s="2" t="inlineStr">
        <is>
          <t xml:space="preserve">Not started</t>
        </is>
      </c>
    </row>
    <row r="134">
      <c r="A134" s="2" t="inlineStr">
        <is>
          <t xml:space="preserve">DATA-003</t>
        </is>
      </c>
      <c r="B134" s="2" t="inlineStr">
        <is>
          <t xml:space="preserve">Settings and Data Sources</t>
        </is>
      </c>
      <c r="C134" s="2" t="inlineStr">
        <is>
          <t xml:space="preserve">Data Sources › SoD matrix import</t>
        </is>
      </c>
      <c r="D134" s="2" t="inlineStr">
        <is>
          <t xml:space="preserve">SoD CSV imports risks and activities, rejects unsupported rows and reports coverage.</t>
        </is>
      </c>
      <c r="E134" s="2" t="inlineStr">
        <is>
          <t xml:space="preserve">Not set</t>
        </is>
      </c>
      <c r="F134" s="2" t="inlineStr">
        <is>
          <t xml:space="preserve">Not tested</t>
        </is>
      </c>
      <c r="G134" s="2" t="inlineStr">
        <is>
          <t xml:space="preserve">Pending</t>
        </is>
      </c>
      <c r="H134" s="2" t="inlineStr">
        <is>
          <t xml:space="preserve"/>
        </is>
      </c>
      <c r="I134" s="2" t="inlineStr">
        <is>
          <t xml:space="preserve"/>
        </is>
      </c>
      <c r="J134" s="2" t="inlineStr">
        <is>
          <t xml:space="preserve"/>
        </is>
      </c>
      <c r="K134" s="2" t="inlineStr">
        <is>
          <t xml:space="preserve"/>
        </is>
      </c>
      <c r="L134" s="2" t="inlineStr">
        <is>
          <t xml:space="preserve"/>
        </is>
      </c>
      <c r="M134" s="2" t="inlineStr">
        <is>
          <t xml:space="preserve"/>
        </is>
      </c>
      <c r="N134" s="2" t="inlineStr">
        <is>
          <t xml:space="preserve"/>
        </is>
      </c>
      <c r="O134" s="2" t="inlineStr">
        <is>
          <t xml:space="preserve"/>
        </is>
      </c>
      <c r="P134" s="2" t="inlineStr">
        <is>
          <t xml:space="preserve">docs/data/SOD_MATRIX.md; frontend/tests/sod-feature.spec.ts</t>
        </is>
      </c>
      <c r="Q134" s="2" t="inlineStr">
        <is>
          <t xml:space="preserve">Not assessed</t>
        </is>
      </c>
      <c r="R134" s="2" t="inlineStr">
        <is>
          <t xml:space="preserve">Unclassified</t>
        </is>
      </c>
      <c r="S134" s="2" t="inlineStr">
        <is>
          <t xml:space="preserve">Not started</t>
        </is>
      </c>
    </row>
    <row r="135">
      <c r="A135" s="2" t="inlineStr">
        <is>
          <t xml:space="preserve">DATA-004</t>
        </is>
      </c>
      <c r="B135" s="2" t="inlineStr">
        <is>
          <t xml:space="preserve">Settings and Data Sources</t>
        </is>
      </c>
      <c r="C135" s="2" t="inlineStr">
        <is>
          <t xml:space="preserve">Data Sources › Employee Directory import</t>
        </is>
      </c>
      <c r="D135" s="2" t="inlineStr">
        <is>
          <t xml:space="preserve">Directory import matches by email, reports duplicates and keeps the previous directory when a replacement fails.</t>
        </is>
      </c>
      <c r="E135" s="2" t="inlineStr">
        <is>
          <t xml:space="preserve">Not set</t>
        </is>
      </c>
      <c r="F135" s="2" t="inlineStr">
        <is>
          <t xml:space="preserve">Not tested</t>
        </is>
      </c>
      <c r="G135" s="2" t="inlineStr">
        <is>
          <t xml:space="preserve">Pending</t>
        </is>
      </c>
      <c r="H135" s="2" t="inlineStr">
        <is>
          <t xml:space="preserve"/>
        </is>
      </c>
      <c r="I135" s="2" t="inlineStr">
        <is>
          <t xml:space="preserve"/>
        </is>
      </c>
      <c r="J135" s="2" t="inlineStr">
        <is>
          <t xml:space="preserve"/>
        </is>
      </c>
      <c r="K135" s="2" t="inlineStr">
        <is>
          <t xml:space="preserve"/>
        </is>
      </c>
      <c r="L135" s="2" t="inlineStr">
        <is>
          <t xml:space="preserve"/>
        </is>
      </c>
      <c r="M135" s="2" t="inlineStr">
        <is>
          <t xml:space="preserve"/>
        </is>
      </c>
      <c r="N135" s="2" t="inlineStr">
        <is>
          <t xml:space="preserve"/>
        </is>
      </c>
      <c r="O135" s="2" t="inlineStr">
        <is>
          <t xml:space="preserve"/>
        </is>
      </c>
      <c r="P135" s="2" t="inlineStr">
        <is>
          <t xml:space="preserve">docs/data/EMPLOYEE_DIRECTORY.md; frontend/tests/employee-directory.spec.ts</t>
        </is>
      </c>
      <c r="Q135" s="2" t="inlineStr">
        <is>
          <t xml:space="preserve">Not assessed</t>
        </is>
      </c>
      <c r="R135" s="2" t="inlineStr">
        <is>
          <t xml:space="preserve">Unclassified</t>
        </is>
      </c>
      <c r="S135" s="2" t="inlineStr">
        <is>
          <t xml:space="preserve">Not started</t>
        </is>
      </c>
    </row>
    <row r="136">
      <c r="A136" s="2" t="inlineStr">
        <is>
          <t xml:space="preserve">DATA-005</t>
        </is>
      </c>
      <c r="B136" s="2" t="inlineStr">
        <is>
          <t xml:space="preserve">Settings and Data Sources</t>
        </is>
      </c>
      <c r="C136" s="2" t="inlineStr">
        <is>
          <t xml:space="preserve">Data Sources › Static and dynamic sources</t>
        </is>
      </c>
      <c r="D136" s="2" t="inlineStr">
        <is>
          <t xml:space="preserve">Static sources keep private snapshots; dynamic sources re-read the file on refresh.</t>
        </is>
      </c>
      <c r="E136" s="2" t="inlineStr">
        <is>
          <t xml:space="preserve">Not set</t>
        </is>
      </c>
      <c r="F136" s="2" t="inlineStr">
        <is>
          <t xml:space="preserve">Not tested</t>
        </is>
      </c>
      <c r="G136" s="2" t="inlineStr">
        <is>
          <t xml:space="preserve">Pending</t>
        </is>
      </c>
      <c r="H136" s="2" t="inlineStr">
        <is>
          <t xml:space="preserve"/>
        </is>
      </c>
      <c r="I136" s="2" t="inlineStr">
        <is>
          <t xml:space="preserve"/>
        </is>
      </c>
      <c r="J136" s="2" t="inlineStr">
        <is>
          <t xml:space="preserve"/>
        </is>
      </c>
      <c r="K136" s="2" t="inlineStr">
        <is>
          <t xml:space="preserve"/>
        </is>
      </c>
      <c r="L136" s="2" t="inlineStr">
        <is>
          <t xml:space="preserve"/>
        </is>
      </c>
      <c r="M136" s="2" t="inlineStr">
        <is>
          <t xml:space="preserve"/>
        </is>
      </c>
      <c r="N136" s="2" t="inlineStr">
        <is>
          <t xml:space="preserve"/>
        </is>
      </c>
      <c r="O136" s="2" t="inlineStr">
        <is>
          <t xml:space="preserve"/>
        </is>
      </c>
      <c r="P136" s="2" t="inlineStr">
        <is>
          <t xml:space="preserve">docs/data/IMPORT_AND_REFRESH.md; frontend/tests/automatic-import.spec.ts</t>
        </is>
      </c>
      <c r="Q136" s="2" t="inlineStr">
        <is>
          <t xml:space="preserve">Not assessed</t>
        </is>
      </c>
      <c r="R136" s="2" t="inlineStr">
        <is>
          <t xml:space="preserve">Unclassified</t>
        </is>
      </c>
      <c r="S136" s="2" t="inlineStr">
        <is>
          <t xml:space="preserve">Not started</t>
        </is>
      </c>
    </row>
    <row r="137">
      <c r="A137" s="2" t="inlineStr">
        <is>
          <t xml:space="preserve">DATA-006</t>
        </is>
      </c>
      <c r="B137" s="2" t="inlineStr">
        <is>
          <t xml:space="preserve">Settings and Data Sources</t>
        </is>
      </c>
      <c r="C137" s="2" t="inlineStr">
        <is>
          <t xml:space="preserve">Data Sources › Global refresh</t>
        </is>
      </c>
      <c r="D137" s="2" t="inlineStr">
        <is>
          <t xml:space="preserve">Refresh checks dynamic sources, reports failures and retains previous data.</t>
        </is>
      </c>
      <c r="E137" s="2" t="inlineStr">
        <is>
          <t xml:space="preserve">Not set</t>
        </is>
      </c>
      <c r="F137" s="2" t="inlineStr">
        <is>
          <t xml:space="preserve">Not tested</t>
        </is>
      </c>
      <c r="G137" s="2" t="inlineStr">
        <is>
          <t xml:space="preserve">Pending</t>
        </is>
      </c>
      <c r="H137" s="2" t="inlineStr">
        <is>
          <t xml:space="preserve"/>
        </is>
      </c>
      <c r="I137" s="2" t="inlineStr">
        <is>
          <t xml:space="preserve"/>
        </is>
      </c>
      <c r="J137" s="2" t="inlineStr">
        <is>
          <t xml:space="preserve"/>
        </is>
      </c>
      <c r="K137" s="2" t="inlineStr">
        <is>
          <t xml:space="preserve"/>
        </is>
      </c>
      <c r="L137" s="2" t="inlineStr">
        <is>
          <t xml:space="preserve"/>
        </is>
      </c>
      <c r="M137" s="2" t="inlineStr">
        <is>
          <t xml:space="preserve"/>
        </is>
      </c>
      <c r="N137" s="2" t="inlineStr">
        <is>
          <t xml:space="preserve"/>
        </is>
      </c>
      <c r="O137" s="2" t="inlineStr">
        <is>
          <t xml:space="preserve"/>
        </is>
      </c>
      <c r="P137" s="2" t="inlineStr">
        <is>
          <t xml:space="preserve">docs/data/IMPORT_AND_REFRESH.md; frontend/tests/scheduled-refresh.spec.ts</t>
        </is>
      </c>
      <c r="Q137" s="2" t="inlineStr">
        <is>
          <t xml:space="preserve">Not assessed</t>
        </is>
      </c>
      <c r="R137" s="2" t="inlineStr">
        <is>
          <t xml:space="preserve">Unclassified</t>
        </is>
      </c>
      <c r="S137" s="2" t="inlineStr">
        <is>
          <t xml:space="preserve">Not started</t>
        </is>
      </c>
    </row>
    <row r="138">
      <c r="A138" s="2" t="inlineStr">
        <is>
          <t xml:space="preserve">DATA-007</t>
        </is>
      </c>
      <c r="B138" s="2" t="inlineStr">
        <is>
          <t xml:space="preserve">Settings and Data Sources</t>
        </is>
      </c>
      <c r="C138" s="2" t="inlineStr">
        <is>
          <t xml:space="preserve">Data Sources › History and snapshots</t>
        </is>
      </c>
      <c r="D138" s="2" t="inlineStr">
        <is>
          <t xml:space="preserve">Review history, period snapshots and decisions survive restarts and source replacement.</t>
        </is>
      </c>
      <c r="E138" s="2" t="inlineStr">
        <is>
          <t xml:space="preserve">Not set</t>
        </is>
      </c>
      <c r="F138" s="2" t="inlineStr">
        <is>
          <t xml:space="preserve">Not tested</t>
        </is>
      </c>
      <c r="G138" s="2" t="inlineStr">
        <is>
          <t xml:space="preserve">Pending</t>
        </is>
      </c>
      <c r="H138" s="2" t="inlineStr">
        <is>
          <t xml:space="preserve"/>
        </is>
      </c>
      <c r="I138" s="2" t="inlineStr">
        <is>
          <t xml:space="preserve"/>
        </is>
      </c>
      <c r="J138" s="2" t="inlineStr">
        <is>
          <t xml:space="preserve"/>
        </is>
      </c>
      <c r="K138" s="2" t="inlineStr">
        <is>
          <t xml:space="preserve"/>
        </is>
      </c>
      <c r="L138" s="2" t="inlineStr">
        <is>
          <t xml:space="preserve"/>
        </is>
      </c>
      <c r="M138" s="2" t="inlineStr">
        <is>
          <t xml:space="preserve"/>
        </is>
      </c>
      <c r="N138" s="2" t="inlineStr">
        <is>
          <t xml:space="preserve"/>
        </is>
      </c>
      <c r="O138" s="2" t="inlineStr">
        <is>
          <t xml:space="preserve"/>
        </is>
      </c>
      <c r="P138" s="2" t="inlineStr">
        <is>
          <t xml:space="preserve">docs/data/IMPORT_AND_REFRESH.md; frontend/tests/csv-lifecycle.spec.ts</t>
        </is>
      </c>
      <c r="Q138" s="2" t="inlineStr">
        <is>
          <t xml:space="preserve">Not assessed</t>
        </is>
      </c>
      <c r="R138" s="2" t="inlineStr">
        <is>
          <t xml:space="preserve">Unclassified</t>
        </is>
      </c>
      <c r="S138" s="2" t="inlineStr">
        <is>
          <t xml:space="preserve">Not started</t>
        </is>
      </c>
    </row>
    <row r="139">
      <c r="A139" s="2" t="inlineStr">
        <is>
          <t xml:space="preserve">DATA-008</t>
        </is>
      </c>
      <c r="B139" s="2" t="inlineStr">
        <is>
          <t xml:space="preserve">Settings and Data Sources</t>
        </is>
      </c>
      <c r="C139" s="2" t="inlineStr">
        <is>
          <t xml:space="preserve">Data Sources › Startup restore</t>
        </is>
      </c>
      <c r="D139" s="2" t="inlineStr">
        <is>
          <t xml:space="preserve">After a restart persisted datasets are restored and all views show them without a manual refresh.</t>
        </is>
      </c>
      <c r="E139" s="2" t="inlineStr">
        <is>
          <t xml:space="preserve">Not set</t>
        </is>
      </c>
      <c r="F139" s="2" t="inlineStr">
        <is>
          <t xml:space="preserve">Not tested</t>
        </is>
      </c>
      <c r="G139" s="2" t="inlineStr">
        <is>
          <t xml:space="preserve">Pending</t>
        </is>
      </c>
      <c r="H139" s="2" t="inlineStr">
        <is>
          <t xml:space="preserve"/>
        </is>
      </c>
      <c r="I139" s="2" t="inlineStr">
        <is>
          <t xml:space="preserve"/>
        </is>
      </c>
      <c r="J139" s="2" t="inlineStr">
        <is>
          <t xml:space="preserve"/>
        </is>
      </c>
      <c r="K139" s="2" t="inlineStr">
        <is>
          <t xml:space="preserve"/>
        </is>
      </c>
      <c r="L139" s="2" t="inlineStr">
        <is>
          <t xml:space="preserve"/>
        </is>
      </c>
      <c r="M139" s="2" t="inlineStr">
        <is>
          <t xml:space="preserve"/>
        </is>
      </c>
      <c r="N139" s="2" t="inlineStr">
        <is>
          <t xml:space="preserve"/>
        </is>
      </c>
      <c r="O139" s="2" t="inlineStr">
        <is>
          <t xml:space="preserve"/>
        </is>
      </c>
      <c r="P139" s="2" t="inlineStr">
        <is>
          <t xml:space="preserve">docs/data/IMPORT_AND_REFRESH.md; frontend/tests/startup-reliability.spec.ts</t>
        </is>
      </c>
      <c r="Q139" s="2" t="inlineStr">
        <is>
          <t xml:space="preserve">Not assessed</t>
        </is>
      </c>
      <c r="R139" s="2" t="inlineStr">
        <is>
          <t xml:space="preserve">Unclassified</t>
        </is>
      </c>
      <c r="S139" s="2" t="inlineStr">
        <is>
          <t xml:space="preserve">Not started</t>
        </is>
      </c>
    </row>
    <row r="140">
      <c r="A140" s="2" t="inlineStr">
        <is>
          <t xml:space="preserve">DATA-009</t>
        </is>
      </c>
      <c r="B140" s="2" t="inlineStr">
        <is>
          <t xml:space="preserve">Settings and Data Sources</t>
        </is>
      </c>
      <c r="C140" s="2" t="inlineStr">
        <is>
          <t xml:space="preserve">Data Sources › Saved filter migration</t>
        </is>
      </c>
      <c r="D140" s="2" t="inlineStr">
        <is>
          <t xml:space="preserve">Older saved filters load into the current filter model.</t>
        </is>
      </c>
      <c r="E140" s="2" t="inlineStr">
        <is>
          <t xml:space="preserve">Not set</t>
        </is>
      </c>
      <c r="F140" s="2" t="inlineStr">
        <is>
          <t xml:space="preserve">Not tested</t>
        </is>
      </c>
      <c r="G140" s="2" t="inlineStr">
        <is>
          <t xml:space="preserve">Pending</t>
        </is>
      </c>
      <c r="H140" s="2" t="inlineStr">
        <is>
          <t xml:space="preserve"/>
        </is>
      </c>
      <c r="I140" s="2" t="inlineStr">
        <is>
          <t xml:space="preserve"/>
        </is>
      </c>
      <c r="J140" s="2" t="inlineStr">
        <is>
          <t xml:space="preserve"/>
        </is>
      </c>
      <c r="K140" s="2" t="inlineStr">
        <is>
          <t xml:space="preserve"/>
        </is>
      </c>
      <c r="L140" s="2" t="inlineStr">
        <is>
          <t xml:space="preserve"/>
        </is>
      </c>
      <c r="M140" s="2" t="inlineStr">
        <is>
          <t xml:space="preserve"/>
        </is>
      </c>
      <c r="N140" s="2" t="inlineStr">
        <is>
          <t xml:space="preserve"/>
        </is>
      </c>
      <c r="O140" s="2" t="inlineStr">
        <is>
          <t xml:space="preserve"/>
        </is>
      </c>
      <c r="P140" s="2" t="inlineStr">
        <is>
          <t xml:space="preserve">docs/features/SAVED_FILTERS.md; frontend/tests/saved-filter-migration.spec.ts</t>
        </is>
      </c>
      <c r="Q140" s="2" t="inlineStr">
        <is>
          <t xml:space="preserve">Not assessed</t>
        </is>
      </c>
      <c r="R140" s="2" t="inlineStr">
        <is>
          <t xml:space="preserve">Unclassified</t>
        </is>
      </c>
      <c r="S140" s="2" t="inlineStr">
        <is>
          <t xml:space="preserve">Not started</t>
        </is>
      </c>
    </row>
    <row r="141">
      <c r="A141" s="2" t="inlineStr">
        <is>
          <t xml:space="preserve">DATA-010</t>
        </is>
      </c>
      <c r="B141" s="2" t="inlineStr">
        <is>
          <t xml:space="preserve">Settings and Data Sources</t>
        </is>
      </c>
      <c r="C141" s="2" t="inlineStr">
        <is>
          <t xml:space="preserve">Settings, Data Sources › Browse CSV always available</t>
        </is>
      </c>
      <c r="D141" s="2" t="inlineStr">
        <is>
          <t xml:space="preserve">Browse CSV (one label for every source) stays available when a file is configured; it opens the native dialog, the upload chooser or an explained file location field; a replacement that does not validate never replaces the configured file or its data, and a valid one is confirmed by name and counts.</t>
        </is>
      </c>
      <c r="E141" s="2" t="inlineStr">
        <is>
          <t xml:space="preserve">Not set</t>
        </is>
      </c>
      <c r="F141" s="2" t="inlineStr">
        <is>
          <t xml:space="preserve">Not tested</t>
        </is>
      </c>
      <c r="G141" s="2" t="inlineStr">
        <is>
          <t xml:space="preserve">Pending</t>
        </is>
      </c>
      <c r="H141" s="2" t="inlineStr">
        <is>
          <t xml:space="preserve">frontend/tests/data-source-browse.spec.ts; frontend/tests/automatic-import.spec.ts; frontend/tests/desktop.spec.ts</t>
        </is>
      </c>
      <c r="I141" s="2" t="inlineStr">
        <is>
          <t xml:space="preserve"/>
        </is>
      </c>
      <c r="J141" s="2" t="inlineStr">
        <is>
          <t xml:space="preserve"/>
        </is>
      </c>
      <c r="K141" s="2" t="inlineStr">
        <is>
          <t xml:space="preserve"/>
        </is>
      </c>
      <c r="L141" s="2" t="inlineStr">
        <is>
          <t xml:space="preserve"/>
        </is>
      </c>
      <c r="M141" s="2" t="inlineStr">
        <is>
          <t xml:space="preserve"/>
        </is>
      </c>
      <c r="N141" s="2" t="inlineStr">
        <is>
          <t xml:space="preserve"/>
        </is>
      </c>
      <c r="O141" s="2" t="inlineStr">
        <is>
          <t xml:space="preserve"/>
        </is>
      </c>
      <c r="P141" s="2" t="inlineStr">
        <is>
          <t xml:space="preserve">frontend/src/components/Settings/SourceManager.tsx; docs/data/IMPORT_AND_REFRESH.md</t>
        </is>
      </c>
      <c r="Q141" s="2" t="inlineStr">
        <is>
          <t xml:space="preserve">Implemented</t>
        </is>
      </c>
      <c r="R141" s="2" t="inlineStr">
        <is>
          <t xml:space="preserve">Unclassified</t>
        </is>
      </c>
      <c r="S141" s="2" t="inlineStr">
        <is>
          <t xml:space="preserve">Not started</t>
        </is>
      </c>
    </row>
    <row r="142">
      <c r="A142" s="2" t="inlineStr">
        <is>
          <t xml:space="preserve">DATA-011</t>
        </is>
      </c>
      <c r="B142" s="2" t="inlineStr">
        <is>
          <t xml:space="preserve">Settings and Data Sources</t>
        </is>
      </c>
      <c r="C142" s="2" t="inlineStr">
        <is>
          <t xml:space="preserve">Settings, Data Sources › SoD Matrix source inspection</t>
        </is>
      </c>
      <c r="D142" s="2" t="inlineStr">
        <is>
          <t xml:space="preserve">The SoD Matrix source offers a read-only inspection like the other sources: counts, validation results, column interpretation of the fixed schema (no remapping), quality warnings, import metadata and the imported records.</t>
        </is>
      </c>
      <c r="E142" s="2" t="inlineStr">
        <is>
          <t xml:space="preserve">Not set</t>
        </is>
      </c>
      <c r="F142" s="2" t="inlineStr">
        <is>
          <t xml:space="preserve">Not tested</t>
        </is>
      </c>
      <c r="G142" s="2" t="inlineStr">
        <is>
          <t xml:space="preserve">Pending</t>
        </is>
      </c>
      <c r="H142" s="2" t="inlineStr">
        <is>
          <t xml:space="preserve">frontend/tests/data-source-browse.spec.ts; backend/tests/test_sod_inspection.py</t>
        </is>
      </c>
      <c r="I142" s="2" t="inlineStr">
        <is>
          <t xml:space="preserve"/>
        </is>
      </c>
      <c r="J142" s="2" t="inlineStr">
        <is>
          <t xml:space="preserve"/>
        </is>
      </c>
      <c r="K142" s="2" t="inlineStr">
        <is>
          <t xml:space="preserve"/>
        </is>
      </c>
      <c r="L142" s="2" t="inlineStr">
        <is>
          <t xml:space="preserve"/>
        </is>
      </c>
      <c r="M142" s="2" t="inlineStr">
        <is>
          <t xml:space="preserve"/>
        </is>
      </c>
      <c r="N142" s="2" t="inlineStr">
        <is>
          <t xml:space="preserve"/>
        </is>
      </c>
      <c r="O142" s="2" t="inlineStr">
        <is>
          <t xml:space="preserve"/>
        </is>
      </c>
      <c r="P142" s="2" t="inlineStr">
        <is>
          <t xml:space="preserve">frontend/src/components/Settings/SodSourceInspection.tsx; backend/routers/data_sources.py; docs/data/IMPORT_AND_REFRESH.md</t>
        </is>
      </c>
      <c r="Q142" s="2" t="inlineStr">
        <is>
          <t xml:space="preserve">Implemented</t>
        </is>
      </c>
      <c r="R142" s="2" t="inlineStr">
        <is>
          <t xml:space="preserve">Unclassified</t>
        </is>
      </c>
      <c r="S142" s="2" t="inlineStr">
        <is>
          <t xml:space="preserve">Not started</t>
        </is>
      </c>
    </row>
    <row r="143">
      <c r="A143" s="2" t="inlineStr">
        <is>
          <t xml:space="preserve">DATA-012</t>
        </is>
      </c>
      <c r="B143" s="2" t="inlineStr">
        <is>
          <t xml:space="preserve">Settings and Data Sources</t>
        </is>
      </c>
      <c r="C143" s="2" t="inlineStr">
        <is>
          <t xml:space="preserve">Settings, Data Sources, SoD Matrix › R5 SoD Matrix CSV inspection verified</t>
        </is>
      </c>
      <c r="D143" s="2" t="inlineStr">
        <is>
          <t xml:space="preserve">Browse CSV stays available with a configured file, failed imports keep the last valid dataset, read-only inspection shows detected columns, records and validation warnings, following the other source patterns.</t>
        </is>
      </c>
      <c r="E143" s="2" t="inlineStr">
        <is>
          <t xml:space="preserve">Not set</t>
        </is>
      </c>
      <c r="F143" s="2" t="inlineStr">
        <is>
          <t xml:space="preserve">Not tested</t>
        </is>
      </c>
      <c r="G143" s="2" t="inlineStr">
        <is>
          <t xml:space="preserve">Pending</t>
        </is>
      </c>
      <c r="H143" s="2" t="inlineStr">
        <is>
          <t xml:space="preserve">frontend/tests/data-source-browse.spec.ts; backend/tests/test_sod_inspection.py</t>
        </is>
      </c>
      <c r="I143" s="2" t="inlineStr">
        <is>
          <t xml:space="preserve"/>
        </is>
      </c>
      <c r="J143" s="2" t="inlineStr">
        <is>
          <t xml:space="preserve"/>
        </is>
      </c>
      <c r="K143" s="2" t="inlineStr">
        <is>
          <t xml:space="preserve"/>
        </is>
      </c>
      <c r="L143" s="2" t="inlineStr">
        <is>
          <t xml:space="preserve"/>
        </is>
      </c>
      <c r="M143" s="2" t="inlineStr">
        <is>
          <t xml:space="preserve"/>
        </is>
      </c>
      <c r="N143" s="2" t="inlineStr">
        <is>
          <t xml:space="preserve">Import a real SoD matrix and a broken one and inspect the result.</t>
        </is>
      </c>
      <c r="O143" s="2" t="inlineStr">
        <is>
          <t xml:space="preserve">No functional gap found in R6; a typed path is still imported on leaving the field, so there is no pre-import preview.</t>
        </is>
      </c>
      <c r="P143" s="2" t="inlineStr">
        <is>
          <t xml:space="preserve">frontend/src/components/Settings/SodSourceInspection.tsx; frontend/src/components/Settings/SourceManager.tsx</t>
        </is>
      </c>
      <c r="Q143" s="2" t="inlineStr">
        <is>
          <t xml:space="preserve">Implemented</t>
        </is>
      </c>
      <c r="R143" s="2" t="inlineStr">
        <is>
          <t xml:space="preserve">Unclassified</t>
        </is>
      </c>
      <c r="S143" s="2" t="inlineStr">
        <is>
          <t xml:space="preserve">Not started</t>
        </is>
      </c>
    </row>
    <row r="144">
      <c r="A144" s="2" t="inlineStr">
        <is>
          <t xml:space="preserve">DATA-013</t>
        </is>
      </c>
      <c r="B144" s="2" t="inlineStr">
        <is>
          <t xml:space="preserve">Settings and Data Sources</t>
        </is>
      </c>
      <c r="C144" s="2" t="inlineStr">
        <is>
          <t xml:space="preserve">Settings, Data Sources, SoD Matrix › SoD CSV format, mapping and validation (R6 correction)</t>
        </is>
      </c>
      <c r="D144" s="2" t="inlineStr">
        <is>
          <t xml:space="preserve">The SoD Matrix source has the Advanced import format and column mapping section: delimiter and encoding, mapping against the fixed documented schema, and a read-only validation and preview (counts, errors, SoD checks, sample rows). Inspection stores nothing; invalid files never replace valid data; format and mapping are saved with the import.</t>
        </is>
      </c>
      <c r="E144" s="2" t="inlineStr">
        <is>
          <t xml:space="preserve">Not set</t>
        </is>
      </c>
      <c r="F144" s="2" t="inlineStr">
        <is>
          <t xml:space="preserve">Not tested</t>
        </is>
      </c>
      <c r="G144" s="2" t="inlineStr">
        <is>
          <t xml:space="preserve">Pending</t>
        </is>
      </c>
      <c r="H144" s="2" t="inlineStr">
        <is>
          <t xml:space="preserve">frontend/tests/sod-source-import.spec.ts; backend/tests/test_sod_inspection.py (candidate inspection, manual mapping, invalid content, input rejection, profile persistence, last valid data kept)</t>
        </is>
      </c>
      <c r="I144" s="2" t="inlineStr">
        <is>
          <t xml:space="preserve"/>
        </is>
      </c>
      <c r="J144" s="2" t="inlineStr">
        <is>
          <t xml:space="preserve"/>
        </is>
      </c>
      <c r="K144" s="2" t="inlineStr">
        <is>
          <t xml:space="preserve">Visually checked in light and dark at 1280 and 375 px; the preview table scrolls inside its own container with no page-level horizontal scroll.</t>
        </is>
      </c>
      <c r="L144" s="2" t="inlineStr">
        <is>
          <t xml:space="preserve"/>
        </is>
      </c>
      <c r="M144" s="2" t="inlineStr">
        <is>
          <t xml:space="preserve"/>
        </is>
      </c>
      <c r="N144" s="2" t="inlineStr">
        <is>
          <t xml:space="preserve">Try a real SoD export with different headers and a semicolon delimiter; confirm mapping and preview in both themes.</t>
        </is>
      </c>
      <c r="O144" s="2" t="inlineStr">
        <is>
          <t xml:space="preserve">A typed path is still imported on leaving the field (the inspection shows its result as soon as the path changes); native file dialogs were not run on Windows.</t>
        </is>
      </c>
      <c r="P144" s="2" t="inlineStr">
        <is>
          <t xml:space="preserve">frontend/src/components/Settings/SodImportEditor.tsx; backend/sod_import.py; backend/routers/data_sources.py; docs/data/IMPORT_AND_REFRESH.md</t>
        </is>
      </c>
      <c r="Q144" s="2" t="inlineStr">
        <is>
          <t xml:space="preserve">Implemented</t>
        </is>
      </c>
      <c r="R144" s="2" t="inlineStr">
        <is>
          <t xml:space="preserve">Unclassified</t>
        </is>
      </c>
      <c r="S144" s="2" t="inlineStr">
        <is>
          <t xml:space="preserve">Not started</t>
        </is>
      </c>
    </row>
    <row r="145">
      <c r="A145" s="2" t="inlineStr">
        <is>
          <t xml:space="preserve">DATA-014</t>
        </is>
      </c>
      <c r="B145" s="2" t="inlineStr">
        <is>
          <t xml:space="preserve">Settings and Data Sources</t>
        </is>
      </c>
      <c r="C145" s="2" t="inlineStr">
        <is>
          <t xml:space="preserve">Settings, Data Sources, SoD Matrix › Optional metadata, provenance and coverage</t>
        </is>
      </c>
      <c r="D145" s="2" t="inlineStr">
        <is>
          <t xml:space="preserve">Optional descriptive columns import without breaking existing files; imported values take priority over local text, both are kept and never overwrite each other; coverage over distinct risks, activities and transaction codes separates an absent column from missing values; detection is unchanged.</t>
        </is>
      </c>
      <c r="E145" s="2" t="inlineStr">
        <is>
          <t xml:space="preserve">Not set</t>
        </is>
      </c>
      <c r="F145" s="2" t="inlineStr">
        <is>
          <t xml:space="preserve">Not tested</t>
        </is>
      </c>
      <c r="G145" s="2" t="inlineStr">
        <is>
          <t xml:space="preserve">Pending</t>
        </is>
      </c>
      <c r="H145" s="2" t="inlineStr">
        <is>
          <t xml:space="preserve">backend/tests/test_sod_metadata.py (15 tests); frontend/tests/sod-metadata.spec.ts</t>
        </is>
      </c>
      <c r="I145" s="2" t="inlineStr">
        <is>
          <t xml:space="preserve"/>
        </is>
      </c>
      <c r="J145" s="2" t="inlineStr">
        <is>
          <t xml:space="preserve"/>
        </is>
      </c>
      <c r="K145" s="2" t="inlineStr">
        <is>
          <t xml:space="preserve">Optional columns are proposed export fields, not verified SAP columns.</t>
        </is>
      </c>
      <c r="L145" s="2" t="inlineStr">
        <is>
          <t xml:space="preserve"/>
        </is>
      </c>
      <c r="M145" s="2" t="inlineStr">
        <is>
          <t xml:space="preserve"/>
        </is>
      </c>
      <c r="N145" s="2" t="inlineStr">
        <is>
          <t xml:space="preserve">Import a real export with and without the optional columns and read the coverage section.</t>
        </is>
      </c>
      <c r="O145" s="2" t="inlineStr">
        <is>
          <t xml:space="preserve">Not tested against a real upstream export; PDF/DOCX reports do not use the resolver yet.</t>
        </is>
      </c>
      <c r="P145" s="2" t="inlineStr">
        <is>
          <t xml:space="preserve">backend/sod_import.py; backend/sod_metadata.py; backend/csv_lifecycle.py; frontend/src/components/Settings/SodMetadataCoverage.tsx; docs/data/SOD_MATRIX.md</t>
        </is>
      </c>
      <c r="Q145" s="2" t="inlineStr">
        <is>
          <t xml:space="preserve">Implemented</t>
        </is>
      </c>
      <c r="R145" s="2" t="inlineStr">
        <is>
          <t xml:space="preserve">Unclassified</t>
        </is>
      </c>
      <c r="S145" s="2" t="inlineStr">
        <is>
          <t xml:space="preserve">Not started</t>
        </is>
      </c>
    </row>
    <row r="146">
      <c r="A146" s="2" t="inlineStr">
        <is>
          <t xml:space="preserve">SET-004</t>
        </is>
      </c>
      <c r="B146" s="2" t="inlineStr">
        <is>
          <t xml:space="preserve">SAP Modules</t>
        </is>
      </c>
      <c r="C146" s="2" t="inlineStr">
        <is>
          <t xml:space="preserve">Settings › SAP Modules</t>
        </is>
      </c>
      <c r="D146" s="2" t="inlineStr">
        <is>
          <t xml:space="preserve">Module names, colors and icons are configurable and used consistently.</t>
        </is>
      </c>
      <c r="E146" s="2" t="inlineStr">
        <is>
          <t xml:space="preserve">Not set</t>
        </is>
      </c>
      <c r="F146" s="2" t="inlineStr">
        <is>
          <t xml:space="preserve">Not tested</t>
        </is>
      </c>
      <c r="G146" s="2" t="inlineStr">
        <is>
          <t xml:space="preserve">Pending</t>
        </is>
      </c>
      <c r="H146" s="2" t="inlineStr">
        <is>
          <t xml:space="preserve"/>
        </is>
      </c>
      <c r="I146" s="2" t="inlineStr">
        <is>
          <t xml:space="preserve"/>
        </is>
      </c>
      <c r="J146" s="2" t="inlineStr">
        <is>
          <t xml:space="preserve"/>
        </is>
      </c>
      <c r="K146" s="2" t="inlineStr">
        <is>
          <t xml:space="preserve"/>
        </is>
      </c>
      <c r="L146" s="2" t="inlineStr">
        <is>
          <t xml:space="preserve"/>
        </is>
      </c>
      <c r="M146" s="2" t="inlineStr">
        <is>
          <t xml:space="preserve"/>
        </is>
      </c>
      <c r="N146" s="2" t="inlineStr">
        <is>
          <t xml:space="preserve"/>
        </is>
      </c>
      <c r="O146" s="2" t="inlineStr">
        <is>
          <t xml:space="preserve"/>
        </is>
      </c>
      <c r="P146" s="2" t="inlineStr">
        <is>
          <t xml:space="preserve">docs/data/SAP_MODULES.md; frontend/tests/settings-refinement.spec.ts</t>
        </is>
      </c>
      <c r="Q146" s="2" t="inlineStr">
        <is>
          <t xml:space="preserve">Not assessed</t>
        </is>
      </c>
      <c r="R146" s="2" t="inlineStr">
        <is>
          <t xml:space="preserve">Unclassified</t>
        </is>
      </c>
      <c r="S146" s="2" t="inlineStr">
        <is>
          <t xml:space="preserve">Not started</t>
        </is>
      </c>
    </row>
    <row r="147">
      <c r="A147" s="2" t="inlineStr">
        <is>
          <t xml:space="preserve">SET-010</t>
        </is>
      </c>
      <c r="B147" s="2" t="inlineStr">
        <is>
          <t xml:space="preserve">SAP Modules</t>
        </is>
      </c>
      <c r="C147" s="2" t="inlineStr">
        <is>
          <t xml:space="preserve">SAP Modules › Classification capitalization</t>
        </is>
      </c>
      <c r="D147" s="2" t="inlineStr">
        <is>
          <t xml:space="preserve">SAP Area cards show Module, Submodule and the other classifications capitalized; stored values stay lowercase.</t>
        </is>
      </c>
      <c r="E147" s="2" t="inlineStr">
        <is>
          <t xml:space="preserve">Not set</t>
        </is>
      </c>
      <c r="F147" s="2" t="inlineStr">
        <is>
          <t xml:space="preserve">Not tested</t>
        </is>
      </c>
      <c r="G147" s="2" t="inlineStr">
        <is>
          <t xml:space="preserve">Pending</t>
        </is>
      </c>
      <c r="H147" s="2" t="inlineStr">
        <is>
          <t xml:space="preserve">frontend/tests/shared-ui-r5.spec.ts</t>
        </is>
      </c>
      <c r="I147" s="2" t="inlineStr">
        <is>
          <t xml:space="preserve"/>
        </is>
      </c>
      <c r="J147" s="2" t="inlineStr">
        <is>
          <t xml:space="preserve"/>
        </is>
      </c>
      <c r="K147" s="2" t="inlineStr">
        <is>
          <t xml:space="preserve"/>
        </is>
      </c>
      <c r="L147" s="2" t="inlineStr">
        <is>
          <t xml:space="preserve"/>
        </is>
      </c>
      <c r="M147" s="2" t="inlineStr">
        <is>
          <t xml:space="preserve"/>
        </is>
      </c>
      <c r="N147" s="2" t="inlineStr">
        <is>
          <t xml:space="preserve"/>
        </is>
      </c>
      <c r="O147" s="2" t="inlineStr">
        <is>
          <t xml:space="preserve"/>
        </is>
      </c>
      <c r="P147" s="2" t="inlineStr">
        <is>
          <t xml:space="preserve">frontend/src/components/Settings/ModuleEditor.tsx</t>
        </is>
      </c>
      <c r="Q147" s="2" t="inlineStr">
        <is>
          <t xml:space="preserve">Implemented</t>
        </is>
      </c>
      <c r="R147" s="2" t="inlineStr">
        <is>
          <t xml:space="preserve">Unclassified</t>
        </is>
      </c>
      <c r="S147" s="2" t="inlineStr">
        <is>
          <t xml:space="preserve">Not started</t>
        </is>
      </c>
    </row>
    <row r="148">
      <c r="A148" s="2" t="inlineStr">
        <is>
          <t xml:space="preserve">SET-005</t>
        </is>
      </c>
      <c r="B148" s="2" t="inlineStr">
        <is>
          <t xml:space="preserve">SoD Risk Configuration</t>
        </is>
      </c>
      <c r="C148" s="2" t="inlineStr">
        <is>
          <t xml:space="preserve">Settings › SoD Risk Configuration</t>
        </is>
      </c>
      <c r="D148" s="2" t="inlineStr">
        <is>
          <t xml:space="preserve">Risks enable and disable with immutable source fields and suggestions from evidence.</t>
        </is>
      </c>
      <c r="E148" s="2" t="inlineStr">
        <is>
          <t xml:space="preserve">Not set</t>
        </is>
      </c>
      <c r="F148" s="2" t="inlineStr">
        <is>
          <t xml:space="preserve">Not tested</t>
        </is>
      </c>
      <c r="G148" s="2" t="inlineStr">
        <is>
          <t xml:space="preserve">Pending</t>
        </is>
      </c>
      <c r="H148" s="2" t="inlineStr">
        <is>
          <t xml:space="preserve"/>
        </is>
      </c>
      <c r="I148" s="2" t="inlineStr">
        <is>
          <t xml:space="preserve"/>
        </is>
      </c>
      <c r="J148" s="2" t="inlineStr">
        <is>
          <t xml:space="preserve"/>
        </is>
      </c>
      <c r="K148" s="2" t="inlineStr">
        <is>
          <t xml:space="preserve"/>
        </is>
      </c>
      <c r="L148" s="2" t="inlineStr">
        <is>
          <t xml:space="preserve"/>
        </is>
      </c>
      <c r="M148" s="2" t="inlineStr">
        <is>
          <t xml:space="preserve"/>
        </is>
      </c>
      <c r="N148" s="2" t="inlineStr">
        <is>
          <t xml:space="preserve"/>
        </is>
      </c>
      <c r="O148" s="2" t="inlineStr">
        <is>
          <t xml:space="preserve"/>
        </is>
      </c>
      <c r="P148" s="2" t="inlineStr">
        <is>
          <t xml:space="preserve">docs/features/SOD.md; frontend/tests/sod-catalogue.spec.ts</t>
        </is>
      </c>
      <c r="Q148" s="2" t="inlineStr">
        <is>
          <t xml:space="preserve">Not assessed</t>
        </is>
      </c>
      <c r="R148" s="2" t="inlineStr">
        <is>
          <t xml:space="preserve">Unclassified</t>
        </is>
      </c>
      <c r="S148" s="2" t="inlineStr">
        <is>
          <t xml:space="preserve">Not started</t>
        </is>
      </c>
    </row>
    <row r="149">
      <c r="A149" s="2" t="inlineStr">
        <is>
          <t xml:space="preserve">SET-012</t>
        </is>
      </c>
      <c r="B149" s="2" t="inlineStr">
        <is>
          <t xml:space="preserve">SoD Risk Configuration</t>
        </is>
      </c>
      <c r="C149" s="2" t="inlineStr">
        <is>
          <t xml:space="preserve">SoD Risk Configuration, Risks › New badge beside the Risk ID</t>
        </is>
      </c>
      <c r="D149" s="2" t="inlineStr">
        <is>
          <t xml:space="preserve">A compact amber New badge sits beside the Risk ID of a new risk; it is no longer shown under Review.</t>
        </is>
      </c>
      <c r="E149" s="2" t="inlineStr">
        <is>
          <t xml:space="preserve">Not set</t>
        </is>
      </c>
      <c r="F149" s="2" t="inlineStr">
        <is>
          <t xml:space="preserve">Not tested</t>
        </is>
      </c>
      <c r="G149" s="2" t="inlineStr">
        <is>
          <t xml:space="preserve">Pending</t>
        </is>
      </c>
      <c r="H149" s="2" t="inlineStr">
        <is>
          <t xml:space="preserve">frontend/tests/sod-risk-config-r6.spec.ts</t>
        </is>
      </c>
      <c r="I149" s="2" t="inlineStr">
        <is>
          <t xml:space="preserve"/>
        </is>
      </c>
      <c r="J149" s="2" t="inlineStr">
        <is>
          <t xml:space="preserve"/>
        </is>
      </c>
      <c r="K149" s="2" t="inlineStr">
        <is>
          <t xml:space="preserve"/>
        </is>
      </c>
      <c r="L149" s="2" t="inlineStr">
        <is>
          <t xml:space="preserve"/>
        </is>
      </c>
      <c r="M149" s="2" t="inlineStr">
        <is>
          <t xml:space="preserve"/>
        </is>
      </c>
      <c r="N149" s="2" t="inlineStr">
        <is>
          <t xml:space="preserve">Check that the amber badge is compact and clearly distinct in light and dark.</t>
        </is>
      </c>
      <c r="O149" s="2" t="inlineStr">
        <is>
          <t xml:space="preserve">None known.</t>
        </is>
      </c>
      <c r="P149" s="2" t="inlineStr">
        <is>
          <t xml:space="preserve">frontend/src/components/Settings/SodRiskSettings.tsx</t>
        </is>
      </c>
      <c r="Q149" s="2" t="inlineStr">
        <is>
          <t xml:space="preserve">Implemented</t>
        </is>
      </c>
      <c r="R149" s="2" t="inlineStr">
        <is>
          <t xml:space="preserve">Unclassified</t>
        </is>
      </c>
      <c r="S149" s="2" t="inlineStr">
        <is>
          <t xml:space="preserve">Not started</t>
        </is>
      </c>
    </row>
    <row r="150">
      <c r="A150" s="2" t="inlineStr">
        <is>
          <t xml:space="preserve">SET-013</t>
        </is>
      </c>
      <c r="B150" s="2" t="inlineStr">
        <is>
          <t xml:space="preserve">SoD Risk Configuration</t>
        </is>
      </c>
      <c r="C150" s="2" t="inlineStr">
        <is>
          <t xml:space="preserve">SoD Risk Configuration, Risks › No coloured rows; consecutive new risks separated</t>
        </is>
      </c>
      <c r="D150" s="2" t="inlineStr">
        <is>
          <t xml:space="preserve">Rows keep the normal background; consecutive new risks stay distinguishable through row separators and spacing.</t>
        </is>
      </c>
      <c r="E150" s="2" t="inlineStr">
        <is>
          <t xml:space="preserve">Not set</t>
        </is>
      </c>
      <c r="F150" s="2" t="inlineStr">
        <is>
          <t xml:space="preserve">Not tested</t>
        </is>
      </c>
      <c r="G150" s="2" t="inlineStr">
        <is>
          <t xml:space="preserve">Pending</t>
        </is>
      </c>
      <c r="H150" s="2" t="inlineStr">
        <is>
          <t xml:space="preserve">frontend/tests/sod-risk-config-r6.spec.ts</t>
        </is>
      </c>
      <c r="I150" s="2" t="inlineStr">
        <is>
          <t xml:space="preserve"/>
        </is>
      </c>
      <c r="J150" s="2" t="inlineStr">
        <is>
          <t xml:space="preserve"/>
        </is>
      </c>
      <c r="K150" s="2" t="inlineStr">
        <is>
          <t xml:space="preserve"/>
        </is>
      </c>
      <c r="L150" s="2" t="inlineStr">
        <is>
          <t xml:space="preserve"/>
        </is>
      </c>
      <c r="M150" s="2" t="inlineStr">
        <is>
          <t xml:space="preserve"/>
        </is>
      </c>
      <c r="N150" s="2" t="inlineStr">
        <is>
          <t xml:space="preserve">Judge readability of several consecutive new risks.</t>
        </is>
      </c>
      <c r="O150" s="2" t="inlineStr">
        <is>
          <t xml:space="preserve">None known.</t>
        </is>
      </c>
      <c r="P150" s="2" t="inlineStr">
        <is>
          <t xml:space="preserve">frontend/src/components/Settings/SodRiskSettings.tsx; frontend/src/styles/components.css</t>
        </is>
      </c>
      <c r="Q150" s="2" t="inlineStr">
        <is>
          <t xml:space="preserve">Implemented</t>
        </is>
      </c>
      <c r="R150" s="2" t="inlineStr">
        <is>
          <t xml:space="preserve">Unclassified</t>
        </is>
      </c>
      <c r="S150" s="2" t="inlineStr">
        <is>
          <t xml:space="preserve">Not started</t>
        </is>
      </c>
    </row>
    <row r="151">
      <c r="A151" s="2" t="inlineStr">
        <is>
          <t xml:space="preserve">SET-014</t>
        </is>
      </c>
      <c r="B151" s="2" t="inlineStr">
        <is>
          <t xml:space="preserve">SoD Risk Configuration</t>
        </is>
      </c>
      <c r="C151" s="2" t="inlineStr">
        <is>
          <t xml:space="preserve">SoD Risk Configuration, Risks › Enabled and Disabled icons</t>
        </is>
      </c>
      <c r="D151" s="2" t="inlineStr">
        <is>
          <t xml:space="preserve">Enabled and Disabled carry Lucide icons through the shared EnabledBadge.</t>
        </is>
      </c>
      <c r="E151" s="2" t="inlineStr">
        <is>
          <t xml:space="preserve">Not set</t>
        </is>
      </c>
      <c r="F151" s="2" t="inlineStr">
        <is>
          <t xml:space="preserve">Not tested</t>
        </is>
      </c>
      <c r="G151" s="2" t="inlineStr">
        <is>
          <t xml:space="preserve">Pending</t>
        </is>
      </c>
      <c r="H151" s="2" t="inlineStr">
        <is>
          <t xml:space="preserve">frontend/tests/sod-risk-config-r6.spec.ts; frontend/tests/status-consistency-r6.spec.ts</t>
        </is>
      </c>
      <c r="I151" s="2" t="inlineStr">
        <is>
          <t xml:space="preserve"/>
        </is>
      </c>
      <c r="J151" s="2" t="inlineStr">
        <is>
          <t xml:space="preserve"/>
        </is>
      </c>
      <c r="K151" s="2" t="inlineStr">
        <is>
          <t xml:space="preserve"/>
        </is>
      </c>
      <c r="L151" s="2" t="inlineStr">
        <is>
          <t xml:space="preserve"/>
        </is>
      </c>
      <c r="M151" s="2" t="inlineStr">
        <is>
          <t xml:space="preserve"/>
        </is>
      </c>
      <c r="N151" s="2" t="inlineStr">
        <is>
          <t xml:space="preserve">Confirm the icons read well at small size.</t>
        </is>
      </c>
      <c r="O151" s="2" t="inlineStr">
        <is>
          <t xml:space="preserve">None known.</t>
        </is>
      </c>
      <c r="P151" s="2" t="inlineStr">
        <is>
          <t xml:space="preserve">frontend/src/components/Shared/StatusBadges.tsx</t>
        </is>
      </c>
      <c r="Q151" s="2" t="inlineStr">
        <is>
          <t xml:space="preserve">Implemented</t>
        </is>
      </c>
      <c r="R151" s="2" t="inlineStr">
        <is>
          <t xml:space="preserve">Unclassified</t>
        </is>
      </c>
      <c r="S151" s="2" t="inlineStr">
        <is>
          <t xml:space="preserve">Not started</t>
        </is>
      </c>
    </row>
    <row r="152">
      <c r="A152" s="2" t="inlineStr">
        <is>
          <t xml:space="preserve">SET-015</t>
        </is>
      </c>
      <c r="B152" s="2" t="inlineStr">
        <is>
          <t xml:space="preserve">SoD Risk Configuration</t>
        </is>
      </c>
      <c r="C152" s="2" t="inlineStr">
        <is>
          <t xml:space="preserve">SoD Risk Configuration, Risks › Source details not repeated per row</t>
        </is>
      </c>
      <c r="D152" s="2" t="inlineStr">
        <is>
          <t xml:space="preserve">The Risks table has no per-row Source details; imported source evidence stays reachable from the Edit dialog.</t>
        </is>
      </c>
      <c r="E152" s="2" t="inlineStr">
        <is>
          <t xml:space="preserve">Not set</t>
        </is>
      </c>
      <c r="F152" s="2" t="inlineStr">
        <is>
          <t xml:space="preserve">Not tested</t>
        </is>
      </c>
      <c r="G152" s="2" t="inlineStr">
        <is>
          <t xml:space="preserve">Pending</t>
        </is>
      </c>
      <c r="H152" s="2" t="inlineStr">
        <is>
          <t xml:space="preserve">frontend/tests/sod-risk-config-r6.spec.ts; frontend/tests/sod-catalogue.spec.ts; frontend/tests/navigation-r3.spec.ts</t>
        </is>
      </c>
      <c r="I152" s="2" t="inlineStr">
        <is>
          <t xml:space="preserve"/>
        </is>
      </c>
      <c r="J152" s="2" t="inlineStr">
        <is>
          <t xml:space="preserve"/>
        </is>
      </c>
      <c r="K152" s="2" t="inlineStr">
        <is>
          <t xml:space="preserve"/>
        </is>
      </c>
      <c r="L152" s="2" t="inlineStr">
        <is>
          <t xml:space="preserve"/>
        </is>
      </c>
      <c r="M152" s="2" t="inlineStr">
        <is>
          <t xml:space="preserve"/>
        </is>
      </c>
      <c r="N152" s="2" t="inlineStr">
        <is>
          <t xml:space="preserve">Open Edit on a risk and confirm the source evidence is easy to find.</t>
        </is>
      </c>
      <c r="O152" s="2" t="inlineStr">
        <is>
          <t xml:space="preserve">Activities still reach risk details through their risk pills.</t>
        </is>
      </c>
      <c r="P152" s="2" t="inlineStr">
        <is>
          <t xml:space="preserve">frontend/src/components/Settings/SodRiskSettings.tsx</t>
        </is>
      </c>
      <c r="Q152" s="2" t="inlineStr">
        <is>
          <t xml:space="preserve">Implemented</t>
        </is>
      </c>
      <c r="R152" s="2" t="inlineStr">
        <is>
          <t xml:space="preserve">Unclassified</t>
        </is>
      </c>
      <c r="S152" s="2" t="inlineStr">
        <is>
          <t xml:space="preserve">Not started</t>
        </is>
      </c>
    </row>
    <row r="153">
      <c r="A153" s="2" t="inlineStr">
        <is>
          <t xml:space="preserve">SET-016</t>
        </is>
      </c>
      <c r="B153" s="2" t="inlineStr">
        <is>
          <t xml:space="preserve">SoD Risk Configuration</t>
        </is>
      </c>
      <c r="C153" s="2" t="inlineStr">
        <is>
          <t xml:space="preserve">SoD Risk Configuration, Activities › Activities table harmonized with Risks</t>
        </is>
      </c>
      <c r="D153" s="2" t="inlineStr">
        <is>
          <t xml:space="preserve">Activities share the Risks row rhythm (alignment, separators, minimum row height, compact buttons) and keep their risk pills and transactions button.</t>
        </is>
      </c>
      <c r="E153" s="2" t="inlineStr">
        <is>
          <t xml:space="preserve">Not set</t>
        </is>
      </c>
      <c r="F153" s="2" t="inlineStr">
        <is>
          <t xml:space="preserve">Not tested</t>
        </is>
      </c>
      <c r="G153" s="2" t="inlineStr">
        <is>
          <t xml:space="preserve">Pending</t>
        </is>
      </c>
      <c r="H153" s="2" t="inlineStr">
        <is>
          <t xml:space="preserve">frontend/tests/sod-risk-config-r6.spec.ts</t>
        </is>
      </c>
      <c r="I153" s="2" t="inlineStr">
        <is>
          <t xml:space="preserve"/>
        </is>
      </c>
      <c r="J153" s="2" t="inlineStr">
        <is>
          <t xml:space="preserve"/>
        </is>
      </c>
      <c r="K153" s="2" t="inlineStr">
        <is>
          <t xml:space="preserve"/>
        </is>
      </c>
      <c r="L153" s="2" t="inlineStr">
        <is>
          <t xml:space="preserve"/>
        </is>
      </c>
      <c r="M153" s="2" t="inlineStr">
        <is>
          <t xml:space="preserve"/>
        </is>
      </c>
      <c r="N153" s="2" t="inlineStr">
        <is>
          <t xml:space="preserve">Compare the two tables side by side in both themes.</t>
        </is>
      </c>
      <c r="O153" s="2" t="inlineStr">
        <is>
          <t xml:space="preserve">Row heights still differ with content (risk rows have a third line).</t>
        </is>
      </c>
      <c r="P153" s="2" t="inlineStr">
        <is>
          <t xml:space="preserve">frontend/src/components/Settings/SodRiskSettings.tsx; frontend/src/styles/components.css</t>
        </is>
      </c>
      <c r="Q153" s="2" t="inlineStr">
        <is>
          <t xml:space="preserve">Implemented</t>
        </is>
      </c>
      <c r="R153" s="2" t="inlineStr">
        <is>
          <t xml:space="preserve">Unclassified</t>
        </is>
      </c>
      <c r="S153" s="2" t="inlineStr">
        <is>
          <t xml:space="preserve">Not started</t>
        </is>
      </c>
    </row>
    <row r="154">
      <c r="A154" s="2" t="inlineStr">
        <is>
          <t xml:space="preserve">UI-001</t>
        </is>
      </c>
      <c r="B154" s="2" t="inlineStr">
        <is>
          <t xml:space="preserve">Component Library</t>
        </is>
      </c>
      <c r="C154" s="2" t="inlineStr">
        <is>
          <t xml:space="preserve">Header and navigation › Main navigation</t>
        </is>
      </c>
      <c r="D154" s="2" t="inlineStr">
        <is>
          <t xml:space="preserve">The module link opens the module page; the chevron opens a submenu that overlays the page without scrollbars, navbar resizing or left borders, with Escape and outside-click closing.</t>
        </is>
      </c>
      <c r="E154" s="2" t="inlineStr">
        <is>
          <t xml:space="preserve">Not set</t>
        </is>
      </c>
      <c r="F154" s="2" t="inlineStr">
        <is>
          <t xml:space="preserve">Not tested</t>
        </is>
      </c>
      <c r="G154" s="2" t="inlineStr">
        <is>
          <t xml:space="preserve">Pending</t>
        </is>
      </c>
      <c r="H154" s="2" t="inlineStr">
        <is>
          <t xml:space="preserve"/>
        </is>
      </c>
      <c r="I154" s="2" t="inlineStr">
        <is>
          <t xml:space="preserve"/>
        </is>
      </c>
      <c r="J154" s="2" t="inlineStr">
        <is>
          <t xml:space="preserve"/>
        </is>
      </c>
      <c r="K154" s="2" t="inlineStr">
        <is>
          <t xml:space="preserve"/>
        </is>
      </c>
      <c r="L154" s="2" t="inlineStr">
        <is>
          <t xml:space="preserve"/>
        </is>
      </c>
      <c r="M154" s="2" t="inlineStr">
        <is>
          <t xml:space="preserve"/>
        </is>
      </c>
      <c r="N154" s="2" t="inlineStr">
        <is>
          <t xml:space="preserve"/>
        </is>
      </c>
      <c r="O154" s="2" t="inlineStr">
        <is>
          <t xml:space="preserve"/>
        </is>
      </c>
      <c r="P154" s="2" t="inlineStr">
        <is>
          <t xml:space="preserve">docs/architecture/NAVIGATION.md; frontend/tests/navigation-r3.spec.ts, frontend/tests/global-navigation.spec.ts</t>
        </is>
      </c>
      <c r="Q154" s="2" t="inlineStr">
        <is>
          <t xml:space="preserve">Not assessed</t>
        </is>
      </c>
      <c r="R154" s="2" t="inlineStr">
        <is>
          <t xml:space="preserve">Unclassified</t>
        </is>
      </c>
      <c r="S154" s="2" t="inlineStr">
        <is>
          <t xml:space="preserve">Not started</t>
        </is>
      </c>
    </row>
    <row r="155">
      <c r="A155" s="2" t="inlineStr">
        <is>
          <t xml:space="preserve">UI-002</t>
        </is>
      </c>
      <c r="B155" s="2" t="inlineStr">
        <is>
          <t xml:space="preserve">Component Library</t>
        </is>
      </c>
      <c r="C155" s="2" t="inlineStr">
        <is>
          <t xml:space="preserve">Header and navigation › Theme toggle and branding</t>
        </is>
      </c>
      <c r="D155" s="2" t="inlineStr">
        <is>
          <t xml:space="preserve">Light and dark themes apply immediately, persist, keep contrast and show the configured organization branding.</t>
        </is>
      </c>
      <c r="E155" s="2" t="inlineStr">
        <is>
          <t xml:space="preserve">Not set</t>
        </is>
      </c>
      <c r="F155" s="2" t="inlineStr">
        <is>
          <t xml:space="preserve">Not tested</t>
        </is>
      </c>
      <c r="G155" s="2" t="inlineStr">
        <is>
          <t xml:space="preserve">Pending</t>
        </is>
      </c>
      <c r="H155" s="2" t="inlineStr">
        <is>
          <t xml:space="preserve"/>
        </is>
      </c>
      <c r="I155" s="2" t="inlineStr">
        <is>
          <t xml:space="preserve"/>
        </is>
      </c>
      <c r="J155" s="2" t="inlineStr">
        <is>
          <t xml:space="preserve"/>
        </is>
      </c>
      <c r="K155" s="2" t="inlineStr">
        <is>
          <t xml:space="preserve"/>
        </is>
      </c>
      <c r="L155" s="2" t="inlineStr">
        <is>
          <t xml:space="preserve"/>
        </is>
      </c>
      <c r="M155" s="2" t="inlineStr">
        <is>
          <t xml:space="preserve"/>
        </is>
      </c>
      <c r="N155" s="2" t="inlineStr">
        <is>
          <t xml:space="preserve"/>
        </is>
      </c>
      <c r="O155" s="2" t="inlineStr">
        <is>
          <t xml:space="preserve"/>
        </is>
      </c>
      <c r="P155" s="2" t="inlineStr">
        <is>
          <t xml:space="preserve">docs/architecture/APPEARANCE.md; frontend/tests/settings-runtime-theme.spec.ts</t>
        </is>
      </c>
      <c r="Q155" s="2" t="inlineStr">
        <is>
          <t xml:space="preserve">Not assessed</t>
        </is>
      </c>
      <c r="R155" s="2" t="inlineStr">
        <is>
          <t xml:space="preserve">Unclassified</t>
        </is>
      </c>
      <c r="S155" s="2" t="inlineStr">
        <is>
          <t xml:space="preserve">Not started</t>
        </is>
      </c>
    </row>
    <row r="156">
      <c r="A156" s="2" t="inlineStr">
        <is>
          <t xml:space="preserve">UI-003</t>
        </is>
      </c>
      <c r="B156" s="2" t="inlineStr">
        <is>
          <t xml:space="preserve">Component Library</t>
        </is>
      </c>
      <c r="C156" s="2" t="inlineStr">
        <is>
          <t xml:space="preserve">Filters › Filter sidebar</t>
        </is>
      </c>
      <c r="D156" s="2" t="inlineStr">
        <is>
          <t xml:space="preserve">Search, grouped filters, Saved Filters, one Clear action and an active count behave the same on every filtered page.</t>
        </is>
      </c>
      <c r="E156" s="2" t="inlineStr">
        <is>
          <t xml:space="preserve">Not set</t>
        </is>
      </c>
      <c r="F156" s="2" t="inlineStr">
        <is>
          <t xml:space="preserve">Not tested</t>
        </is>
      </c>
      <c r="G156" s="2" t="inlineStr">
        <is>
          <t xml:space="preserve">Pending</t>
        </is>
      </c>
      <c r="H156" s="2" t="inlineStr">
        <is>
          <t xml:space="preserve"/>
        </is>
      </c>
      <c r="I156" s="2" t="inlineStr">
        <is>
          <t xml:space="preserve"/>
        </is>
      </c>
      <c r="J156" s="2" t="inlineStr">
        <is>
          <t xml:space="preserve"/>
        </is>
      </c>
      <c r="K156" s="2" t="inlineStr">
        <is>
          <t xml:space="preserve"/>
        </is>
      </c>
      <c r="L156" s="2" t="inlineStr">
        <is>
          <t xml:space="preserve"/>
        </is>
      </c>
      <c r="M156" s="2" t="inlineStr">
        <is>
          <t xml:space="preserve"/>
        </is>
      </c>
      <c r="N156" s="2" t="inlineStr">
        <is>
          <t xml:space="preserve"/>
        </is>
      </c>
      <c r="O156" s="2" t="inlineStr">
        <is>
          <t xml:space="preserve"/>
        </is>
      </c>
      <c r="P156" s="2" t="inlineStr">
        <is>
          <t xml:space="preserve">docs/features/FILTERS.md; frontend/tests/consolidated-refinement.spec.ts</t>
        </is>
      </c>
      <c r="Q156" s="2" t="inlineStr">
        <is>
          <t xml:space="preserve">Not assessed</t>
        </is>
      </c>
      <c r="R156" s="2" t="inlineStr">
        <is>
          <t xml:space="preserve">Unclassified</t>
        </is>
      </c>
      <c r="S156" s="2" t="inlineStr">
        <is>
          <t xml:space="preserve">Not started</t>
        </is>
      </c>
    </row>
    <row r="157">
      <c r="A157" s="2" t="inlineStr">
        <is>
          <t xml:space="preserve">UI-004</t>
        </is>
      </c>
      <c r="B157" s="2" t="inlineStr">
        <is>
          <t xml:space="preserve">Component Library</t>
        </is>
      </c>
      <c r="C157" s="2" t="inlineStr">
        <is>
          <t xml:space="preserve">Filters › Multi-select filter</t>
        </is>
      </c>
      <c r="D157" s="2" t="inlineStr">
        <is>
          <t xml:space="preserve">The list stays open while values toggle, search keeps selections, Select all acts on the visible matches, Clear works, OR within a filter and AND across filters.</t>
        </is>
      </c>
      <c r="E157" s="2" t="inlineStr">
        <is>
          <t xml:space="preserve">Not set</t>
        </is>
      </c>
      <c r="F157" s="2" t="inlineStr">
        <is>
          <t xml:space="preserve">Not tested</t>
        </is>
      </c>
      <c r="G157" s="2" t="inlineStr">
        <is>
          <t xml:space="preserve">Pending</t>
        </is>
      </c>
      <c r="H157" s="2" t="inlineStr">
        <is>
          <t xml:space="preserve"/>
        </is>
      </c>
      <c r="I157" s="2" t="inlineStr">
        <is>
          <t xml:space="preserve"/>
        </is>
      </c>
      <c r="J157" s="2" t="inlineStr">
        <is>
          <t xml:space="preserve"/>
        </is>
      </c>
      <c r="K157" s="2" t="inlineStr">
        <is>
          <t xml:space="preserve"/>
        </is>
      </c>
      <c r="L157" s="2" t="inlineStr">
        <is>
          <t xml:space="preserve"/>
        </is>
      </c>
      <c r="M157" s="2" t="inlineStr">
        <is>
          <t xml:space="preserve"/>
        </is>
      </c>
      <c r="N157" s="2" t="inlineStr">
        <is>
          <t xml:space="preserve"/>
        </is>
      </c>
      <c r="O157" s="2" t="inlineStr">
        <is>
          <t xml:space="preserve"/>
        </is>
      </c>
      <c r="P157" s="2" t="inlineStr">
        <is>
          <t xml:space="preserve">docs/features/FILTERS.md; frontend/tests/sod-bulk-review.spec.ts</t>
        </is>
      </c>
      <c r="Q157" s="2" t="inlineStr">
        <is>
          <t xml:space="preserve">Not assessed</t>
        </is>
      </c>
      <c r="R157" s="2" t="inlineStr">
        <is>
          <t xml:space="preserve">Unclassified</t>
        </is>
      </c>
      <c r="S157" s="2" t="inlineStr">
        <is>
          <t xml:space="preserve">Not started</t>
        </is>
      </c>
    </row>
    <row r="158">
      <c r="A158" s="2" t="inlineStr">
        <is>
          <t xml:space="preserve">UI-005</t>
        </is>
      </c>
      <c r="B158" s="2" t="inlineStr">
        <is>
          <t xml:space="preserve">Component Library</t>
        </is>
      </c>
      <c r="C158" s="2" t="inlineStr">
        <is>
          <t xml:space="preserve">Components › Codeblocks</t>
        </is>
      </c>
      <c r="D158" s="2" t="inlineStr">
        <is>
          <t xml:space="preserve">SAP identifiers always show the complete name on one line (no wrapping, scrolling, truncation or ellipsis), copy the exact value and keep the copy icon beside the name in cards, dialogs, sidebars and tables; narrow layouts scale the font (not below 9 px) or adapt instead.</t>
        </is>
      </c>
      <c r="E158" s="2" t="inlineStr">
        <is>
          <t xml:space="preserve">Not set</t>
        </is>
      </c>
      <c r="F158" s="2" t="inlineStr">
        <is>
          <t xml:space="preserve">Not tested</t>
        </is>
      </c>
      <c r="G158" s="2" t="inlineStr">
        <is>
          <t xml:space="preserve">Pending</t>
        </is>
      </c>
      <c r="H158" s="2" t="inlineStr">
        <is>
          <t xml:space="preserve"/>
        </is>
      </c>
      <c r="I158" s="2" t="inlineStr">
        <is>
          <t xml:space="preserve"/>
        </is>
      </c>
      <c r="J158" s="2" t="inlineStr">
        <is>
          <t xml:space="preserve"/>
        </is>
      </c>
      <c r="K158" s="2" t="inlineStr">
        <is>
          <t xml:space="preserve"/>
        </is>
      </c>
      <c r="L158" s="2" t="inlineStr">
        <is>
          <t xml:space="preserve"/>
        </is>
      </c>
      <c r="M158" s="2" t="inlineStr">
        <is>
          <t xml:space="preserve"/>
        </is>
      </c>
      <c r="N158" s="2" t="inlineStr">
        <is>
          <t xml:space="preserve"/>
        </is>
      </c>
      <c r="O158" s="2" t="inlineStr">
        <is>
          <t xml:space="preserve"/>
        </is>
      </c>
      <c r="P158" s="2" t="inlineStr">
        <is>
          <t xml:space="preserve">docs/architecture/DESIGN_SYSTEM.md; frontend/tests/role-codeblocks.spec.ts, frontend/tests/refinement-r2.spec.ts, frontend/tests/access-package-r2.spec.ts</t>
        </is>
      </c>
      <c r="Q158" s="2" t="inlineStr">
        <is>
          <t xml:space="preserve">Not assessed</t>
        </is>
      </c>
      <c r="R158" s="2" t="inlineStr">
        <is>
          <t xml:space="preserve">Unclassified</t>
        </is>
      </c>
      <c r="S158" s="2" t="inlineStr">
        <is>
          <t xml:space="preserve">Not started</t>
        </is>
      </c>
    </row>
    <row r="159">
      <c r="A159" s="2" t="inlineStr">
        <is>
          <t xml:space="preserve">UI-006</t>
        </is>
      </c>
      <c r="B159" s="2" t="inlineStr">
        <is>
          <t xml:space="preserve">Component Library</t>
        </is>
      </c>
      <c r="C159" s="2" t="inlineStr">
        <is>
          <t xml:space="preserve">Components › Buttons and icons</t>
        </is>
      </c>
      <c r="D159" s="2" t="inlineStr">
        <is>
          <t xml:space="preserve">Actions use the shared Button with consistent sizes, icons, hover, pressed and focus states.</t>
        </is>
      </c>
      <c r="E159" s="2" t="inlineStr">
        <is>
          <t xml:space="preserve">Not set</t>
        </is>
      </c>
      <c r="F159" s="2" t="inlineStr">
        <is>
          <t xml:space="preserve">Not tested</t>
        </is>
      </c>
      <c r="G159" s="2" t="inlineStr">
        <is>
          <t xml:space="preserve">Pending</t>
        </is>
      </c>
      <c r="H159" s="2" t="inlineStr">
        <is>
          <t xml:space="preserve"/>
        </is>
      </c>
      <c r="I159" s="2" t="inlineStr">
        <is>
          <t xml:space="preserve"/>
        </is>
      </c>
      <c r="J159" s="2" t="inlineStr">
        <is>
          <t xml:space="preserve"/>
        </is>
      </c>
      <c r="K159" s="2" t="inlineStr">
        <is>
          <t xml:space="preserve"/>
        </is>
      </c>
      <c r="L159" s="2" t="inlineStr">
        <is>
          <t xml:space="preserve"/>
        </is>
      </c>
      <c r="M159" s="2" t="inlineStr">
        <is>
          <t xml:space="preserve"/>
        </is>
      </c>
      <c r="N159" s="2" t="inlineStr">
        <is>
          <t xml:space="preserve"/>
        </is>
      </c>
      <c r="O159" s="2" t="inlineStr">
        <is>
          <t xml:space="preserve"/>
        </is>
      </c>
      <c r="P159" s="2" t="inlineStr">
        <is>
          <t xml:space="preserve">docs/architecture/COMPONENTS.md; frontend/tests/ui-polish-actions.spec.ts</t>
        </is>
      </c>
      <c r="Q159" s="2" t="inlineStr">
        <is>
          <t xml:space="preserve">Not assessed</t>
        </is>
      </c>
      <c r="R159" s="2" t="inlineStr">
        <is>
          <t xml:space="preserve">Unclassified</t>
        </is>
      </c>
      <c r="S159" s="2" t="inlineStr">
        <is>
          <t xml:space="preserve">Not started</t>
        </is>
      </c>
    </row>
    <row r="160">
      <c r="A160" s="2" t="inlineStr">
        <is>
          <t xml:space="preserve">UI-007</t>
        </is>
      </c>
      <c r="B160" s="2" t="inlineStr">
        <is>
          <t xml:space="preserve">Component Library</t>
        </is>
      </c>
      <c r="C160" s="2" t="inlineStr">
        <is>
          <t xml:space="preserve">Components › Pills and badges</t>
        </is>
      </c>
      <c r="D160" s="2" t="inlineStr">
        <is>
          <t xml:space="preserve">Status, criticality, type, Dynamic and review pills have distinct semantic tones and consistent padding and icons.</t>
        </is>
      </c>
      <c r="E160" s="2" t="inlineStr">
        <is>
          <t xml:space="preserve">Not set</t>
        </is>
      </c>
      <c r="F160" s="2" t="inlineStr">
        <is>
          <t xml:space="preserve">Not tested</t>
        </is>
      </c>
      <c r="G160" s="2" t="inlineStr">
        <is>
          <t xml:space="preserve">Pending</t>
        </is>
      </c>
      <c r="H160" s="2" t="inlineStr">
        <is>
          <t xml:space="preserve"/>
        </is>
      </c>
      <c r="I160" s="2" t="inlineStr">
        <is>
          <t xml:space="preserve"/>
        </is>
      </c>
      <c r="J160" s="2" t="inlineStr">
        <is>
          <t xml:space="preserve"/>
        </is>
      </c>
      <c r="K160" s="2" t="inlineStr">
        <is>
          <t xml:space="preserve"/>
        </is>
      </c>
      <c r="L160" s="2" t="inlineStr">
        <is>
          <t xml:space="preserve"/>
        </is>
      </c>
      <c r="M160" s="2" t="inlineStr">
        <is>
          <t xml:space="preserve"/>
        </is>
      </c>
      <c r="N160" s="2" t="inlineStr">
        <is>
          <t xml:space="preserve"/>
        </is>
      </c>
      <c r="O160" s="2" t="inlineStr">
        <is>
          <t xml:space="preserve"/>
        </is>
      </c>
      <c r="P160" s="2" t="inlineStr">
        <is>
          <t xml:space="preserve">docs/architecture/DESIGN_SYSTEM.md; frontend/tests/ui-consistency.spec.ts</t>
        </is>
      </c>
      <c r="Q160" s="2" t="inlineStr">
        <is>
          <t xml:space="preserve">Not assessed</t>
        </is>
      </c>
      <c r="R160" s="2" t="inlineStr">
        <is>
          <t xml:space="preserve">Unclassified</t>
        </is>
      </c>
      <c r="S160" s="2" t="inlineStr">
        <is>
          <t xml:space="preserve">Not started</t>
        </is>
      </c>
    </row>
    <row r="161">
      <c r="A161" s="2" t="inlineStr">
        <is>
          <t xml:space="preserve">UI-008</t>
        </is>
      </c>
      <c r="B161" s="2" t="inlineStr">
        <is>
          <t xml:space="preserve">Component Library</t>
        </is>
      </c>
      <c r="C161" s="2" t="inlineStr">
        <is>
          <t xml:space="preserve">Components › Progress bars</t>
        </is>
      </c>
      <c r="D161" s="2" t="inlineStr">
        <is>
          <t xml:space="preserve">Progress bars are always visible (also at 0%), carry the numeric value as text and use semantic tones.</t>
        </is>
      </c>
      <c r="E161" s="2" t="inlineStr">
        <is>
          <t xml:space="preserve">Not set</t>
        </is>
      </c>
      <c r="F161" s="2" t="inlineStr">
        <is>
          <t xml:space="preserve">Not tested</t>
        </is>
      </c>
      <c r="G161" s="2" t="inlineStr">
        <is>
          <t xml:space="preserve">Pending</t>
        </is>
      </c>
      <c r="H161" s="2" t="inlineStr">
        <is>
          <t xml:space="preserve"/>
        </is>
      </c>
      <c r="I161" s="2" t="inlineStr">
        <is>
          <t xml:space="preserve"/>
        </is>
      </c>
      <c r="J161" s="2" t="inlineStr">
        <is>
          <t xml:space="preserve"/>
        </is>
      </c>
      <c r="K161" s="2" t="inlineStr">
        <is>
          <t xml:space="preserve"/>
        </is>
      </c>
      <c r="L161" s="2" t="inlineStr">
        <is>
          <t xml:space="preserve"/>
        </is>
      </c>
      <c r="M161" s="2" t="inlineStr">
        <is>
          <t xml:space="preserve"/>
        </is>
      </c>
      <c r="N161" s="2" t="inlineStr">
        <is>
          <t xml:space="preserve"/>
        </is>
      </c>
      <c r="O161" s="2" t="inlineStr">
        <is>
          <t xml:space="preserve"/>
        </is>
      </c>
      <c r="P161" s="2" t="inlineStr">
        <is>
          <t xml:space="preserve">docs/architecture/DESIGN_SYSTEM.md; frontend/tests/refinement-search-layout.spec.ts</t>
        </is>
      </c>
      <c r="Q161" s="2" t="inlineStr">
        <is>
          <t xml:space="preserve">Not assessed</t>
        </is>
      </c>
      <c r="R161" s="2" t="inlineStr">
        <is>
          <t xml:space="preserve">Unclassified</t>
        </is>
      </c>
      <c r="S161" s="2" t="inlineStr">
        <is>
          <t xml:space="preserve">Not started</t>
        </is>
      </c>
    </row>
    <row r="162">
      <c r="A162" s="2" t="inlineStr">
        <is>
          <t xml:space="preserve">UI-009</t>
        </is>
      </c>
      <c r="B162" s="2" t="inlineStr">
        <is>
          <t xml:space="preserve">Component Library</t>
        </is>
      </c>
      <c r="C162" s="2" t="inlineStr">
        <is>
          <t xml:space="preserve">Components › Tables</t>
        </is>
      </c>
      <c r="D162" s="2" t="inlineStr">
        <is>
          <t xml:space="preserve">Tables have sticky headers where long, clear hover and selected states, empty states and no clipped content.</t>
        </is>
      </c>
      <c r="E162" s="2" t="inlineStr">
        <is>
          <t xml:space="preserve">Not set</t>
        </is>
      </c>
      <c r="F162" s="2" t="inlineStr">
        <is>
          <t xml:space="preserve">Not tested</t>
        </is>
      </c>
      <c r="G162" s="2" t="inlineStr">
        <is>
          <t xml:space="preserve">Pending</t>
        </is>
      </c>
      <c r="H162" s="2" t="inlineStr">
        <is>
          <t xml:space="preserve"/>
        </is>
      </c>
      <c r="I162" s="2" t="inlineStr">
        <is>
          <t xml:space="preserve"/>
        </is>
      </c>
      <c r="J162" s="2" t="inlineStr">
        <is>
          <t xml:space="preserve"/>
        </is>
      </c>
      <c r="K162" s="2" t="inlineStr">
        <is>
          <t xml:space="preserve"/>
        </is>
      </c>
      <c r="L162" s="2" t="inlineStr">
        <is>
          <t xml:space="preserve"/>
        </is>
      </c>
      <c r="M162" s="2" t="inlineStr">
        <is>
          <t xml:space="preserve"/>
        </is>
      </c>
      <c r="N162" s="2" t="inlineStr">
        <is>
          <t xml:space="preserve"/>
        </is>
      </c>
      <c r="O162" s="2" t="inlineStr">
        <is>
          <t xml:space="preserve"/>
        </is>
      </c>
      <c r="P162" s="2" t="inlineStr">
        <is>
          <t xml:space="preserve">docs/architecture/COMPONENTS.md; frontend/tests/design-system.spec.ts</t>
        </is>
      </c>
      <c r="Q162" s="2" t="inlineStr">
        <is>
          <t xml:space="preserve">Not assessed</t>
        </is>
      </c>
      <c r="R162" s="2" t="inlineStr">
        <is>
          <t xml:space="preserve">Unclassified</t>
        </is>
      </c>
      <c r="S162" s="2" t="inlineStr">
        <is>
          <t xml:space="preserve">Not started</t>
        </is>
      </c>
    </row>
    <row r="163">
      <c r="A163" s="2" t="inlineStr">
        <is>
          <t xml:space="preserve">UI-010</t>
        </is>
      </c>
      <c r="B163" s="2" t="inlineStr">
        <is>
          <t xml:space="preserve">Component Library</t>
        </is>
      </c>
      <c r="C163" s="2" t="inlineStr">
        <is>
          <t xml:space="preserve">Components › Info tips and popovers</t>
        </is>
      </c>
      <c r="D163" s="2" t="inlineStr">
        <is>
          <t xml:space="preserve">Info tips open anchored popovers, close with Escape or outside click and keep focus order.</t>
        </is>
      </c>
      <c r="E163" s="2" t="inlineStr">
        <is>
          <t xml:space="preserve">Not set</t>
        </is>
      </c>
      <c r="F163" s="2" t="inlineStr">
        <is>
          <t xml:space="preserve">Not tested</t>
        </is>
      </c>
      <c r="G163" s="2" t="inlineStr">
        <is>
          <t xml:space="preserve">Pending</t>
        </is>
      </c>
      <c r="H163" s="2" t="inlineStr">
        <is>
          <t xml:space="preserve"/>
        </is>
      </c>
      <c r="I163" s="2" t="inlineStr">
        <is>
          <t xml:space="preserve"/>
        </is>
      </c>
      <c r="J163" s="2" t="inlineStr">
        <is>
          <t xml:space="preserve"/>
        </is>
      </c>
      <c r="K163" s="2" t="inlineStr">
        <is>
          <t xml:space="preserve"/>
        </is>
      </c>
      <c r="L163" s="2" t="inlineStr">
        <is>
          <t xml:space="preserve"/>
        </is>
      </c>
      <c r="M163" s="2" t="inlineStr">
        <is>
          <t xml:space="preserve"/>
        </is>
      </c>
      <c r="N163" s="2" t="inlineStr">
        <is>
          <t xml:space="preserve"/>
        </is>
      </c>
      <c r="O163" s="2" t="inlineStr">
        <is>
          <t xml:space="preserve"/>
        </is>
      </c>
      <c r="P163" s="2" t="inlineStr">
        <is>
          <t xml:space="preserve">docs/architecture/COMPONENTS.md; frontend/tests/ui-consistency.spec.ts</t>
        </is>
      </c>
      <c r="Q163" s="2" t="inlineStr">
        <is>
          <t xml:space="preserve">Not assessed</t>
        </is>
      </c>
      <c r="R163" s="2" t="inlineStr">
        <is>
          <t xml:space="preserve">Unclassified</t>
        </is>
      </c>
      <c r="S163" s="2" t="inlineStr">
        <is>
          <t xml:space="preserve">Not started</t>
        </is>
      </c>
    </row>
    <row r="164">
      <c r="A164" s="2" t="inlineStr">
        <is>
          <t xml:space="preserve">UI-011</t>
        </is>
      </c>
      <c r="B164" s="2" t="inlineStr">
        <is>
          <t xml:space="preserve">Component Library</t>
        </is>
      </c>
      <c r="C164" s="2" t="inlineStr">
        <is>
          <t xml:space="preserve">Components › Dialogs and side panels</t>
        </is>
      </c>
      <c r="D164" s="2" t="inlineStr">
        <is>
          <t xml:space="preserve">Dialogs trap focus, close with Escape, return focus and fit narrow screens.</t>
        </is>
      </c>
      <c r="E164" s="2" t="inlineStr">
        <is>
          <t xml:space="preserve">Not set</t>
        </is>
      </c>
      <c r="F164" s="2" t="inlineStr">
        <is>
          <t xml:space="preserve">Not tested</t>
        </is>
      </c>
      <c r="G164" s="2" t="inlineStr">
        <is>
          <t xml:space="preserve">Pending</t>
        </is>
      </c>
      <c r="H164" s="2" t="inlineStr">
        <is>
          <t xml:space="preserve"/>
        </is>
      </c>
      <c r="I164" s="2" t="inlineStr">
        <is>
          <t xml:space="preserve"/>
        </is>
      </c>
      <c r="J164" s="2" t="inlineStr">
        <is>
          <t xml:space="preserve"/>
        </is>
      </c>
      <c r="K164" s="2" t="inlineStr">
        <is>
          <t xml:space="preserve"/>
        </is>
      </c>
      <c r="L164" s="2" t="inlineStr">
        <is>
          <t xml:space="preserve"/>
        </is>
      </c>
      <c r="M164" s="2" t="inlineStr">
        <is>
          <t xml:space="preserve"/>
        </is>
      </c>
      <c r="N164" s="2" t="inlineStr">
        <is>
          <t xml:space="preserve"/>
        </is>
      </c>
      <c r="O164" s="2" t="inlineStr">
        <is>
          <t xml:space="preserve"/>
        </is>
      </c>
      <c r="P164" s="2" t="inlineStr">
        <is>
          <t xml:space="preserve">docs/architecture/COMPONENTS.md; frontend/tests/a11y-audit.spec.ts</t>
        </is>
      </c>
      <c r="Q164" s="2" t="inlineStr">
        <is>
          <t xml:space="preserve">Not assessed</t>
        </is>
      </c>
      <c r="R164" s="2" t="inlineStr">
        <is>
          <t xml:space="preserve">Unclassified</t>
        </is>
      </c>
      <c r="S164" s="2" t="inlineStr">
        <is>
          <t xml:space="preserve">Not started</t>
        </is>
      </c>
    </row>
    <row r="165">
      <c r="A165" s="2" t="inlineStr">
        <is>
          <t xml:space="preserve">UI-014</t>
        </is>
      </c>
      <c r="B165" s="2" t="inlineStr">
        <is>
          <t xml:space="preserve">Component Library</t>
        </is>
      </c>
      <c r="C165" s="2" t="inlineStr">
        <is>
          <t xml:space="preserve">Content › Terminology and capitalization</t>
        </is>
      </c>
      <c r="D165" s="2" t="inlineStr">
        <is>
          <t xml:space="preserve">Labels, headings and SAP terms use consistent wording and capitalization (for example SAP User Group).</t>
        </is>
      </c>
      <c r="E165" s="2" t="inlineStr">
        <is>
          <t xml:space="preserve">Not set</t>
        </is>
      </c>
      <c r="F165" s="2" t="inlineStr">
        <is>
          <t xml:space="preserve">Not tested</t>
        </is>
      </c>
      <c r="G165" s="2" t="inlineStr">
        <is>
          <t xml:space="preserve">Pending</t>
        </is>
      </c>
      <c r="H165" s="2" t="inlineStr">
        <is>
          <t xml:space="preserve"/>
        </is>
      </c>
      <c r="I165" s="2" t="inlineStr">
        <is>
          <t xml:space="preserve"/>
        </is>
      </c>
      <c r="J165" s="2" t="inlineStr">
        <is>
          <t xml:space="preserve"/>
        </is>
      </c>
      <c r="K165" s="2" t="inlineStr">
        <is>
          <t xml:space="preserve"/>
        </is>
      </c>
      <c r="L165" s="2" t="inlineStr">
        <is>
          <t xml:space="preserve"/>
        </is>
      </c>
      <c r="M165" s="2" t="inlineStr">
        <is>
          <t xml:space="preserve"/>
        </is>
      </c>
      <c r="N165" s="2" t="inlineStr">
        <is>
          <t xml:space="preserve"/>
        </is>
      </c>
      <c r="O165" s="2" t="inlineStr">
        <is>
          <t xml:space="preserve"/>
        </is>
      </c>
      <c r="P165" s="2" t="inlineStr">
        <is>
          <t xml:space="preserve">docs/archive/validation/UI_UX_GAP_AUDIT.md</t>
        </is>
      </c>
      <c r="Q165" s="2" t="inlineStr">
        <is>
          <t xml:space="preserve">Not assessed</t>
        </is>
      </c>
      <c r="R165" s="2" t="inlineStr">
        <is>
          <t xml:space="preserve">Unclassified</t>
        </is>
      </c>
      <c r="S165" s="2" t="inlineStr">
        <is>
          <t xml:space="preserve">Not started</t>
        </is>
      </c>
    </row>
    <row r="166">
      <c r="A166" s="2" t="inlineStr">
        <is>
          <t xml:space="preserve">UI-015</t>
        </is>
      </c>
      <c r="B166" s="2" t="inlineStr">
        <is>
          <t xml:space="preserve">Component Library</t>
        </is>
      </c>
      <c r="C166" s="2" t="inlineStr">
        <is>
          <t xml:space="preserve">Settings › Component Library</t>
        </is>
      </c>
      <c r="D166" s="2" t="inlineStr">
        <is>
          <t xml:space="preserve">The Component Library previews the shared components in isolation and matches the live components.</t>
        </is>
      </c>
      <c r="E166" s="2" t="inlineStr">
        <is>
          <t xml:space="preserve">Not set</t>
        </is>
      </c>
      <c r="F166" s="2" t="inlineStr">
        <is>
          <t xml:space="preserve">Not tested</t>
        </is>
      </c>
      <c r="G166" s="2" t="inlineStr">
        <is>
          <t xml:space="preserve">Pending</t>
        </is>
      </c>
      <c r="H166" s="2" t="inlineStr">
        <is>
          <t xml:space="preserve"/>
        </is>
      </c>
      <c r="I166" s="2" t="inlineStr">
        <is>
          <t xml:space="preserve"/>
        </is>
      </c>
      <c r="J166" s="2" t="inlineStr">
        <is>
          <t xml:space="preserve"/>
        </is>
      </c>
      <c r="K166" s="2" t="inlineStr">
        <is>
          <t xml:space="preserve"/>
        </is>
      </c>
      <c r="L166" s="2" t="inlineStr">
        <is>
          <t xml:space="preserve"/>
        </is>
      </c>
      <c r="M166" s="2" t="inlineStr">
        <is>
          <t xml:space="preserve"/>
        </is>
      </c>
      <c r="N166" s="2" t="inlineStr">
        <is>
          <t xml:space="preserve"/>
        </is>
      </c>
      <c r="O166" s="2" t="inlineStr">
        <is>
          <t xml:space="preserve"/>
        </is>
      </c>
      <c r="P166" s="2" t="inlineStr">
        <is>
          <t xml:space="preserve">docs/architecture/COMPONENTS.md; frontend/tests/settings-r2.spec.ts</t>
        </is>
      </c>
      <c r="Q166" s="2" t="inlineStr">
        <is>
          <t xml:space="preserve">Not assessed</t>
        </is>
      </c>
      <c r="R166" s="2" t="inlineStr">
        <is>
          <t xml:space="preserve">Unclassified</t>
        </is>
      </c>
      <c r="S166" s="2" t="inlineStr">
        <is>
          <t xml:space="preserve">Not started</t>
        </is>
      </c>
    </row>
    <row r="167">
      <c r="A167" s="2" t="inlineStr">
        <is>
          <t xml:space="preserve">UI-016</t>
        </is>
      </c>
      <c r="B167" s="2" t="inlineStr">
        <is>
          <t xml:space="preserve">Component Library</t>
        </is>
      </c>
      <c r="C167" s="2" t="inlineStr">
        <is>
          <t xml:space="preserve">Components › Info tip trigger size</t>
        </is>
      </c>
      <c r="D167" s="2" t="inlineStr">
        <is>
          <t xml:space="preserve">The info tip icon button is no taller than the heading text it sits beside.</t>
        </is>
      </c>
      <c r="E167" s="2" t="inlineStr">
        <is>
          <t xml:space="preserve">Low</t>
        </is>
      </c>
      <c r="F167" s="2" t="inlineStr">
        <is>
          <t xml:space="preserve">Needs improvement</t>
        </is>
      </c>
      <c r="G167" s="2" t="inlineStr">
        <is>
          <t xml:space="preserve">Pending</t>
        </is>
      </c>
      <c r="H167" s="2" t="inlineStr">
        <is>
          <t xml:space="preserve"/>
        </is>
      </c>
      <c r="I167" s="2" t="inlineStr">
        <is>
          <t xml:space="preserve"/>
        </is>
      </c>
      <c r="J167" s="2" t="inlineStr">
        <is>
          <t xml:space="preserve"/>
        </is>
      </c>
      <c r="K167" s="2" t="inlineStr">
        <is>
          <t xml:space="preserve">Round 4 visual QA: the shared 32 px icon button is taller than headings such as Account review progress.</t>
        </is>
      </c>
      <c r="L167" s="2" t="inlineStr">
        <is>
          <t xml:space="preserve"/>
        </is>
      </c>
      <c r="M167" s="2" t="inlineStr">
        <is>
          <t xml:space="preserve"/>
        </is>
      </c>
      <c r="N167" s="2" t="inlineStr">
        <is>
          <t xml:space="preserve"/>
        </is>
      </c>
      <c r="O167" s="2" t="inlineStr">
        <is>
          <t xml:space="preserve"/>
        </is>
      </c>
      <c r="P167" s="2" t="inlineStr">
        <is>
          <t xml:space="preserve">frontend/src/components/Shared/InfoTip.tsx</t>
        </is>
      </c>
      <c r="Q167" s="2" t="inlineStr">
        <is>
          <t xml:space="preserve">Not assessed</t>
        </is>
      </c>
      <c r="R167" s="2" t="inlineStr">
        <is>
          <t xml:space="preserve">Improvement opportunity</t>
        </is>
      </c>
      <c r="S167" s="2" t="inlineStr">
        <is>
          <t xml:space="preserve">Not started</t>
        </is>
      </c>
    </row>
    <row r="168">
      <c r="A168" s="2" t="inlineStr">
        <is>
          <t xml:space="preserve">UI-017</t>
        </is>
      </c>
      <c r="B168" s="2" t="inlineStr">
        <is>
          <t xml:space="preserve">Component Library</t>
        </is>
      </c>
      <c r="C168" s="2" t="inlineStr">
        <is>
          <t xml:space="preserve">Header and navigation › Navigation submenu scrollbar</t>
        </is>
      </c>
      <c r="D168" s="2" t="inlineStr">
        <is>
          <t xml:space="preserve">Opening a navigation chevron never adds a scrollbar, changes the navbar size or draws a left border; the chevron shows its open state; Escape, outside click and keyboard behavior still work at every width in both themes.</t>
        </is>
      </c>
      <c r="E168" s="2" t="inlineStr">
        <is>
          <t xml:space="preserve">Not set</t>
        </is>
      </c>
      <c r="F168" s="2" t="inlineStr">
        <is>
          <t xml:space="preserve">Not tested</t>
        </is>
      </c>
      <c r="G168" s="2" t="inlineStr">
        <is>
          <t xml:space="preserve">Pending</t>
        </is>
      </c>
      <c r="H168" s="2" t="inlineStr">
        <is>
          <t xml:space="preserve">frontend/tests/navigation-r3.spec.ts (9 widths, no scroll containers in the header, unchanged header size, chevron state)</t>
        </is>
      </c>
      <c r="I168" s="2" t="inlineStr">
        <is>
          <t xml:space="preserve"/>
        </is>
      </c>
      <c r="J168" s="2" t="inlineStr">
        <is>
          <t xml:space="preserve"/>
        </is>
      </c>
      <c r="K168" s="2" t="inlineStr">
        <is>
          <t xml:space="preserve"/>
        </is>
      </c>
      <c r="L168" s="2" t="inlineStr">
        <is>
          <t xml:space="preserve"/>
        </is>
      </c>
      <c r="M168" s="2" t="inlineStr">
        <is>
          <t xml:space="preserve"/>
        </is>
      </c>
      <c r="N168" s="2" t="inlineStr">
        <is>
          <t xml:space="preserve"/>
        </is>
      </c>
      <c r="O168" s="2" t="inlineStr">
        <is>
          <t xml:space="preserve"/>
        </is>
      </c>
      <c r="P168" s="2" t="inlineStr">
        <is>
          <t xml:space="preserve">frontend/src/components/Shared/Navigation.tsx; docs/architecture/NAVIGATION.md</t>
        </is>
      </c>
      <c r="Q168" s="2" t="inlineStr">
        <is>
          <t xml:space="preserve">Implemented</t>
        </is>
      </c>
      <c r="R168" s="2" t="inlineStr">
        <is>
          <t xml:space="preserve">Unclassified</t>
        </is>
      </c>
      <c r="S168" s="2" t="inlineStr">
        <is>
          <t xml:space="preserve">Not started</t>
        </is>
      </c>
    </row>
    <row r="169">
      <c r="A169" s="2" t="inlineStr">
        <is>
          <t xml:space="preserve">UI-018</t>
        </is>
      </c>
      <c r="B169" s="2" t="inlineStr">
        <is>
          <t xml:space="preserve">Component Library</t>
        </is>
      </c>
      <c r="C169" s="2" t="inlineStr">
        <is>
          <t xml:space="preserve">SoD pages › Review Context alignment</t>
        </is>
      </c>
      <c r="D169" s="2" t="inlineStr">
        <is>
          <t xml:space="preserve">The evaluation information is vertically centered on the Review Context dropdown, with consistent spacing, and wraps without overlap on narrow screens.</t>
        </is>
      </c>
      <c r="E169" s="2" t="inlineStr">
        <is>
          <t xml:space="preserve">Not set</t>
        </is>
      </c>
      <c r="F169" s="2" t="inlineStr">
        <is>
          <t xml:space="preserve">Not tested</t>
        </is>
      </c>
      <c r="G169" s="2" t="inlineStr">
        <is>
          <t xml:space="preserve">Pending</t>
        </is>
      </c>
      <c r="H169" s="2" t="inlineStr">
        <is>
          <t xml:space="preserve">frontend/tests/shared-ui-r5.spec.ts</t>
        </is>
      </c>
      <c r="I169" s="2" t="inlineStr">
        <is>
          <t xml:space="preserve"/>
        </is>
      </c>
      <c r="J169" s="2" t="inlineStr">
        <is>
          <t xml:space="preserve"/>
        </is>
      </c>
      <c r="K169" s="2" t="inlineStr">
        <is>
          <t xml:space="preserve"/>
        </is>
      </c>
      <c r="L169" s="2" t="inlineStr">
        <is>
          <t xml:space="preserve"/>
        </is>
      </c>
      <c r="M169" s="2" t="inlineStr">
        <is>
          <t xml:space="preserve"/>
        </is>
      </c>
      <c r="N169" s="2" t="inlineStr">
        <is>
          <t xml:space="preserve"/>
        </is>
      </c>
      <c r="O169" s="2" t="inlineStr">
        <is>
          <t xml:space="preserve"/>
        </is>
      </c>
      <c r="P169" s="2" t="inlineStr">
        <is>
          <t xml:space="preserve">frontend/src/components/Sod/SodShared.tsx</t>
        </is>
      </c>
      <c r="Q169" s="2" t="inlineStr">
        <is>
          <t xml:space="preserve">Implemented</t>
        </is>
      </c>
      <c r="R169" s="2" t="inlineStr">
        <is>
          <t xml:space="preserve">Unclassified</t>
        </is>
      </c>
      <c r="S169" s="2" t="inlineStr">
        <is>
          <t xml:space="preserve">Not started</t>
        </is>
      </c>
    </row>
    <row r="170">
      <c r="A170" s="2" t="inlineStr">
        <is>
          <t xml:space="preserve">UI-019</t>
        </is>
      </c>
      <c r="B170" s="2" t="inlineStr">
        <is>
          <t xml:space="preserve">Component Library</t>
        </is>
      </c>
      <c r="C170" s="2" t="inlineStr">
        <is>
          <t xml:space="preserve">All pages › Status labels, tags and badges: casing</t>
        </is>
      </c>
      <c r="D170" s="2" t="inlineStr">
        <is>
          <t xml:space="preserve">User-facing labels are sentence case (or the proper noun form), never lowercase internal enum values such as directory_match.</t>
        </is>
      </c>
      <c r="E170" s="2" t="inlineStr">
        <is>
          <t xml:space="preserve">Not set</t>
        </is>
      </c>
      <c r="F170" s="2" t="inlineStr">
        <is>
          <t xml:space="preserve">Not tested</t>
        </is>
      </c>
      <c r="G170" s="2" t="inlineStr">
        <is>
          <t xml:space="preserve">Pending</t>
        </is>
      </c>
      <c r="H170" s="2" t="inlineStr">
        <is>
          <t xml:space="preserve">frontend/tests/status-consistency-r6.spec.ts (badge text on Dashboard, SoD pages, Settings diagnostics and risk configuration)</t>
        </is>
      </c>
      <c r="I170" s="2" t="inlineStr">
        <is>
          <t xml:space="preserve"/>
        </is>
      </c>
      <c r="J170" s="2" t="inlineStr">
        <is>
          <t xml:space="preserve"/>
        </is>
      </c>
      <c r="K170" s="2" t="inlineStr">
        <is>
          <t xml:space="preserve"/>
        </is>
      </c>
      <c r="L170" s="2" t="inlineStr">
        <is>
          <t xml:space="preserve"/>
        </is>
      </c>
      <c r="M170" s="2" t="inlineStr">
        <is>
          <t xml:space="preserve"/>
        </is>
      </c>
      <c r="N170" s="2" t="inlineStr">
        <is>
          <t xml:space="preserve">Page through Role Lookup, User Access, Account Review and the Settings tabs and look for any remaining lowercase or technical label.</t>
        </is>
      </c>
      <c r="O170" s="2" t="inlineStr">
        <is>
          <t xml:space="preserve">The automated check covers the Dashboard, SoD Overview, Review Periods, Settings health and SoD risk configuration; other pages were audited by code search only.</t>
        </is>
      </c>
      <c r="P170" s="2" t="inlineStr">
        <is>
          <t xml:space="preserve">frontend/src/lib/labels.ts; frontend/src/components/Shared/StatusBadges.tsx; docs/architecture/DESIGN_SYSTEM.md</t>
        </is>
      </c>
      <c r="Q170" s="2" t="inlineStr">
        <is>
          <t xml:space="preserve">Implemented</t>
        </is>
      </c>
      <c r="R170" s="2" t="inlineStr">
        <is>
          <t xml:space="preserve">Unclassified</t>
        </is>
      </c>
      <c r="S170" s="2" t="inlineStr">
        <is>
          <t xml:space="preserve">Not started</t>
        </is>
      </c>
    </row>
    <row r="171">
      <c r="A171" s="2" t="inlineStr">
        <is>
          <t xml:space="preserve">UI-020</t>
        </is>
      </c>
      <c r="B171" s="2" t="inlineStr">
        <is>
          <t xml:space="preserve">Component Library</t>
        </is>
      </c>
      <c r="C171" s="2" t="inlineStr">
        <is>
          <t xml:space="preserve">Dashboard, Settings, SoD › Standard Enabled, Disabled, Loaded, Dynamic, warning, information and review status components with Lucide icons</t>
        </is>
      </c>
      <c r="D171" s="2" t="inlineStr">
        <is>
          <t xml:space="preserve">Enabled, Disabled, Static and Dynamic use one shared badge (wording, tone, icon) everywhere; Loaded, warning and review states use the shared status components.</t>
        </is>
      </c>
      <c r="E171" s="2" t="inlineStr">
        <is>
          <t xml:space="preserve">Not set</t>
        </is>
      </c>
      <c r="F171" s="2" t="inlineStr">
        <is>
          <t xml:space="preserve">Not tested</t>
        </is>
      </c>
      <c r="G171" s="2" t="inlineStr">
        <is>
          <t xml:space="preserve">Pending</t>
        </is>
      </c>
      <c r="H171" s="2" t="inlineStr">
        <is>
          <t xml:space="preserve">frontend/tests/status-consistency-r6.spec.ts; frontend/tests/sod-risk-config-r6.spec.ts</t>
        </is>
      </c>
      <c r="I171" s="2" t="inlineStr">
        <is>
          <t xml:space="preserve"/>
        </is>
      </c>
      <c r="J171" s="2" t="inlineStr">
        <is>
          <t xml:space="preserve"/>
        </is>
      </c>
      <c r="K171" s="2" t="inlineStr">
        <is>
          <t xml:space="preserve"/>
        </is>
      </c>
      <c r="L171" s="2" t="inlineStr">
        <is>
          <t xml:space="preserve"/>
        </is>
      </c>
      <c r="M171" s="2" t="inlineStr">
        <is>
          <t xml:space="preserve"/>
        </is>
      </c>
      <c r="N171" s="2" t="inlineStr">
        <is>
          <t xml:space="preserve">Check in both themes that the icons read clearly and that similar states look alike on every page.</t>
        </is>
      </c>
      <c r="O171" s="2" t="inlineStr">
        <is>
          <t xml:space="preserve">Loaded, warning and review states already used shared components and were not restyled; the icon choice is a design judgement.</t>
        </is>
      </c>
      <c r="P171" s="2" t="inlineStr">
        <is>
          <t xml:space="preserve">frontend/src/components/Shared/StatusBadges.tsx; frontend/src/components/Shared/StatusPill.tsx; frontend/src/components/Shared/SourceBadge.tsx</t>
        </is>
      </c>
      <c r="Q171" s="2" t="inlineStr">
        <is>
          <t xml:space="preserve">Implemented</t>
        </is>
      </c>
      <c r="R171" s="2" t="inlineStr">
        <is>
          <t xml:space="preserve">Unclassified</t>
        </is>
      </c>
      <c r="S171" s="2" t="inlineStr">
        <is>
          <t xml:space="preserve">Not started</t>
        </is>
      </c>
    </row>
    <row r="172">
      <c r="A172" s="2" t="inlineStr">
        <is>
          <t xml:space="preserve">UI-021</t>
        </is>
      </c>
      <c r="B172" s="2" t="inlineStr">
        <is>
          <t xml:space="preserve">Component Library</t>
        </is>
      </c>
      <c r="C172" s="2" t="inlineStr">
        <is>
          <t xml:space="preserve">Dashboard, Account Review, SoD › Semantic KPI colors and neutral zero</t>
        </is>
      </c>
      <c r="D172" s="2" t="inlineStr">
        <is>
          <t xml:space="preserve">Critical KPI values use semantic colors; a zero count is always neutral and never warning or danger.</t>
        </is>
      </c>
      <c r="E172" s="2" t="inlineStr">
        <is>
          <t xml:space="preserve">Not set</t>
        </is>
      </c>
      <c r="F172" s="2" t="inlineStr">
        <is>
          <t xml:space="preserve">Not tested</t>
        </is>
      </c>
      <c r="G172" s="2" t="inlineStr">
        <is>
          <t xml:space="preserve">Pending</t>
        </is>
      </c>
      <c r="H172" s="2" t="inlineStr">
        <is>
          <t xml:space="preserve">frontend/tests/status-consistency-r6.spec.ts (no zero value with warning or danger tone on the Dashboard, Account Review, SoD Overview and Risk Matrix)</t>
        </is>
      </c>
      <c r="I172" s="2" t="inlineStr">
        <is>
          <t xml:space="preserve"/>
        </is>
      </c>
      <c r="J172" s="2" t="inlineStr">
        <is>
          <t xml:space="preserve"/>
        </is>
      </c>
      <c r="K172" s="2" t="inlineStr">
        <is>
          <t xml:space="preserve"/>
        </is>
      </c>
      <c r="L172" s="2" t="inlineStr">
        <is>
          <t xml:space="preserve"/>
        </is>
      </c>
      <c r="M172" s="2" t="inlineStr">
        <is>
          <t xml:space="preserve"/>
        </is>
      </c>
      <c r="N172" s="2" t="inlineStr">
        <is>
          <t xml:space="preserve">Look at KPI colors in light and dark: critical values readable, zeros calm (including completed or approved counts at zero).</t>
        </is>
      </c>
      <c r="O172" s="2" t="inlineStr">
        <is>
          <t xml:space="preserve"/>
        </is>
      </c>
      <c r="P172" s="2" t="inlineStr">
        <is>
          <t xml:space="preserve">frontend/src/components/Shared/Kpi.tsx; frontend/src/components/Shared/InfoList.tsx; frontend/src/lib/labels.ts</t>
        </is>
      </c>
      <c r="Q172" s="2" t="inlineStr">
        <is>
          <t xml:space="preserve">Implemented</t>
        </is>
      </c>
      <c r="R172" s="2" t="inlineStr">
        <is>
          <t xml:space="preserve">Unclassified</t>
        </is>
      </c>
      <c r="S172" s="2" t="inlineStr">
        <is>
          <t xml:space="preserve">Not started</t>
        </is>
      </c>
    </row>
    <row r="173">
      <c r="A173" s="2" t="inlineStr">
        <is>
          <t xml:space="preserve">UI-023</t>
        </is>
      </c>
      <c r="B173" s="2" t="inlineStr">
        <is>
          <t xml:space="preserve">Component Library</t>
        </is>
      </c>
      <c r="C173" s="2" t="inlineStr">
        <is>
          <t xml:space="preserve">All pages › Shared components and semantic tokens over page-specific CSS</t>
        </is>
      </c>
      <c r="D173" s="2" t="inlineStr">
        <is>
          <t xml:space="preserve">New and changed status, KPI and focus behavior comes from shared components and tokens (StatusBadges, Kpi, InfoRow, --focus-radius) rather than page overrides.</t>
        </is>
      </c>
      <c r="E173" s="2" t="inlineStr">
        <is>
          <t xml:space="preserve">Not set</t>
        </is>
      </c>
      <c r="F173" s="2" t="inlineStr">
        <is>
          <t xml:space="preserve">Not tested</t>
        </is>
      </c>
      <c r="G173" s="2" t="inlineStr">
        <is>
          <t xml:space="preserve">Pending</t>
        </is>
      </c>
      <c r="H173" s="2" t="inlineStr">
        <is>
          <t xml:space="preserve">frontend/tests/status-consistency-r6.spec.ts; frontend/tests/kpi-standard.spec.ts</t>
        </is>
      </c>
      <c r="I173" s="2" t="inlineStr">
        <is>
          <t xml:space="preserve"/>
        </is>
      </c>
      <c r="J173" s="2" t="inlineStr">
        <is>
          <t xml:space="preserve"/>
        </is>
      </c>
      <c r="K173" s="2" t="inlineStr">
        <is>
          <t xml:space="preserve"/>
        </is>
      </c>
      <c r="L173" s="2" t="inlineStr">
        <is>
          <t xml:space="preserve"/>
        </is>
      </c>
      <c r="M173" s="2" t="inlineStr">
        <is>
          <t xml:space="preserve"/>
        </is>
      </c>
      <c r="N173" s="2" t="inlineStr">
        <is>
          <t xml:space="preserve">Review the Component Library page for the shared patterns.</t>
        </is>
      </c>
      <c r="O173" s="2" t="inlineStr">
        <is>
          <t xml:space="preserve">The Component Library does not yet demonstrate EnabledBadge and ModeBadge as separate entries.</t>
        </is>
      </c>
      <c r="P173" s="2" t="inlineStr">
        <is>
          <t xml:space="preserve">frontend/src/components/Shared; docs/architecture/DESIGN_SYSTEM.md</t>
        </is>
      </c>
      <c r="Q173" s="2" t="inlineStr">
        <is>
          <t xml:space="preserve">Implemented</t>
        </is>
      </c>
      <c r="R173" s="2" t="inlineStr">
        <is>
          <t xml:space="preserve">Unclassified</t>
        </is>
      </c>
      <c r="S173" s="2" t="inlineStr">
        <is>
          <t xml:space="preserve">Not started</t>
        </is>
      </c>
    </row>
    <row r="174">
      <c r="A174" s="2" t="inlineStr">
        <is>
          <t xml:space="preserve">UI-024</t>
        </is>
      </c>
      <c r="B174" s="2" t="inlineStr">
        <is>
          <t xml:space="preserve">Component Library</t>
        </is>
      </c>
      <c r="C174" s="2" t="inlineStr">
        <is>
          <t xml:space="preserve">SoD Overview, Dashboard, Account Review, Remediation, Reviews, Access Explorer, matrices › Shared KPI tone mapping (R6 correction)</t>
        </is>
      </c>
      <c r="D174" s="2" t="inlineStr">
        <is>
          <t xml:space="preserve">KPI tone comes from lib/kpiTone.ts, not from pages: potential conflicts, pending, outdated, rejected and removal states are warning; overdue actions are danger; completed, approved and accepted are success; informational totals and enabled definitions are neutral; every zero is neutral.</t>
        </is>
      </c>
      <c r="E174" s="2" t="inlineStr">
        <is>
          <t xml:space="preserve">Not set</t>
        </is>
      </c>
      <c r="F174" s="2" t="inlineStr">
        <is>
          <t xml:space="preserve">Not tested</t>
        </is>
      </c>
      <c r="G174" s="2" t="inlineStr">
        <is>
          <t xml:space="preserve">Pending</t>
        </is>
      </c>
      <c r="H174" s="2" t="inlineStr">
        <is>
          <t xml:space="preserve">frontend/tests/kpi-semantic-tones.spec.ts (every SoD Overview metric, all-zero neutrality, Dashboard parity, contrast in light and dark)</t>
        </is>
      </c>
      <c r="I174" s="2" t="inlineStr">
        <is>
          <t xml:space="preserve"/>
        </is>
      </c>
      <c r="J174" s="2" t="inlineStr">
        <is>
          <t xml:space="preserve"/>
        </is>
      </c>
      <c r="K174" s="2" t="inlineStr">
        <is>
          <t xml:space="preserve">Contrast of warning, danger and success figures measured above 3:1 in both themes (large bold figures).</t>
        </is>
      </c>
      <c r="L174" s="2" t="inlineStr">
        <is>
          <t xml:space="preserve"/>
        </is>
      </c>
      <c r="M174" s="2" t="inlineStr">
        <is>
          <t xml:space="preserve"/>
        </is>
      </c>
      <c r="N174" s="2" t="inlineStr">
        <is>
          <t xml:space="preserve">Look at SoD Overview, Dashboard and Account Review in both themes: colors match meaning, zeros are calm.</t>
        </is>
      </c>
      <c r="O174" s="2" t="inlineStr">
        <is>
          <t xml:space="preserve">Rejected risks and removal states changed from danger to warning in the matrix tiles to follow the stated rules; pages outside the listed ones keep their explicit tones.</t>
        </is>
      </c>
      <c r="P174" s="2" t="inlineStr">
        <is>
          <t xml:space="preserve">frontend/src/lib/kpiTone.ts; frontend/src/lib/labels.ts; docs/architecture/DESIGN_SYSTEM.md</t>
        </is>
      </c>
      <c r="Q174" s="2" t="inlineStr">
        <is>
          <t xml:space="preserve">Implemented</t>
        </is>
      </c>
      <c r="R174" s="2" t="inlineStr">
        <is>
          <t xml:space="preserve">Unclassified</t>
        </is>
      </c>
      <c r="S174" s="2" t="inlineStr">
        <is>
          <t xml:space="preserve">Not started</t>
        </is>
      </c>
    </row>
    <row r="175">
      <c r="A175" s="2" t="inlineStr">
        <is>
          <t xml:space="preserve">R8-02</t>
        </is>
      </c>
      <c r="B175" s="2" t="inlineStr">
        <is>
          <t xml:space="preserve">Component Library</t>
        </is>
      </c>
      <c r="C175" s="2" t="inlineStr">
        <is>
          <t xml:space="preserve">Settings › Component Library › Category tabs scrollbar</t>
        </is>
      </c>
      <c r="D175" s="2" t="inlineStr">
        <is>
          <t xml:space="preserve">The category tabs scroll horizontally with the application scrollbar design (tokens), about 8px below the active underline, keeping the underline, mouse, touchpad and keyboard use, with no page-level overflow.</t>
        </is>
      </c>
      <c r="E175" s="2" t="inlineStr">
        <is>
          <t xml:space="preserve">Low</t>
        </is>
      </c>
      <c r="F175" s="2" t="inlineStr">
        <is>
          <t xml:space="preserve">Not tested</t>
        </is>
      </c>
      <c r="G175" s="2" t="inlineStr">
        <is>
          <t xml:space="preserve">Pending</t>
        </is>
      </c>
      <c r="H175" s="2" t="inlineStr">
        <is>
          <t xml:space="preserve">frontend/tests/r8-ui-polish.spec.ts</t>
        </is>
      </c>
      <c r="I175" s="2" t="inlineStr">
        <is>
          <t xml:space="preserve"/>
        </is>
      </c>
      <c r="J175" s="2" t="inlineStr">
        <is>
          <t xml:space="preserve"/>
        </is>
      </c>
      <c r="K175" s="2" t="inlineStr">
        <is>
          <t xml:space="preserve">Root cause: scrollbar-width on the tab strips switched off the application scrollbar styling. Fixed with --scrollbar-* tokens (R8 phase 1).</t>
        </is>
      </c>
      <c r="L175" s="2" t="inlineStr">
        <is>
          <t xml:space="preserve"/>
        </is>
      </c>
      <c r="M175" s="2" t="inlineStr">
        <is>
          <t xml:space="preserve"/>
        </is>
      </c>
      <c r="N175" s="2" t="inlineStr">
        <is>
          <t xml:space="preserve">Narrow the window until the tabs overflow and look at the scrollbar in both themes.</t>
        </is>
      </c>
      <c r="O175" s="2" t="inlineStr">
        <is>
          <t xml:space="preserve">Headless browsers hide scrollbars, so the automated test reads the styling from the pseudo-element; the visual scrollbar needs a manual look.</t>
        </is>
      </c>
      <c r="P175" s="2" t="inlineStr">
        <is>
          <t xml:space="preserve">frontend/src/styles/tokens.css; frontend/src/index.css; frontend/src/styles/components.css</t>
        </is>
      </c>
      <c r="Q175" s="2" t="inlineStr">
        <is>
          <t xml:space="preserve">Implemented</t>
        </is>
      </c>
      <c r="R175" s="2" t="inlineStr">
        <is>
          <t xml:space="preserve">Unclassified</t>
        </is>
      </c>
      <c r="S175" s="2" t="inlineStr">
        <is>
          <t xml:space="preserve">Not started</t>
        </is>
      </c>
    </row>
    <row r="176">
      <c r="A176" s="2" t="inlineStr">
        <is>
          <t xml:space="preserve">R7-01</t>
        </is>
      </c>
      <c r="B176" s="2" t="inlineStr">
        <is>
          <t xml:space="preserve">Desktop and Startup</t>
        </is>
      </c>
      <c r="C176" s="2" t="inlineStr">
        <is>
          <t xml:space="preserve">Desktop loading screen › Logo, name and status centered</t>
        </is>
      </c>
      <c r="D176" s="2" t="inlineStr">
        <is>
          <t xml:space="preserve">The SAP Lens logo, the application name and the status line ("Connecting to local service…") share one horizontal axis in one centered flex column, with consistent spacing and no overflow, at any width.</t>
        </is>
      </c>
      <c r="E176" s="2" t="inlineStr">
        <is>
          <t xml:space="preserve">Not set</t>
        </is>
      </c>
      <c r="F176" s="2" t="inlineStr">
        <is>
          <t xml:space="preserve">Not tested</t>
        </is>
      </c>
      <c r="G176" s="2" t="inlineStr">
        <is>
          <t xml:space="preserve">Pending</t>
        </is>
      </c>
      <c r="H176" s="2" t="inlineStr">
        <is>
          <t xml:space="preserve">frontend/tests/startup-screen.spec.ts</t>
        </is>
      </c>
      <c r="I176" s="2" t="inlineStr">
        <is>
          <t xml:space="preserve"/>
        </is>
      </c>
      <c r="J176" s="2" t="inlineStr">
        <is>
          <t xml:space="preserve"/>
        </is>
      </c>
      <c r="K176" s="2" t="inlineStr">
        <is>
          <t xml:space="preserve">Root cause: an inline image in a 140x100 box around the square logo, with independent margins. Replaced by a block image in a flex column (desktop document and web bootstrap). Centres measured within 1px at 375, 800, 1280 and 1600 px in Chromium.</t>
        </is>
      </c>
      <c r="L176" s="2" t="inlineStr">
        <is>
          <t xml:space="preserve"/>
        </is>
      </c>
      <c r="M176" s="2" t="inlineStr">
        <is>
          <t xml:space="preserve"/>
        </is>
      </c>
      <c r="N176" s="2" t="inlineStr">
        <is>
          <t xml:space="preserve">Look at the real desktop window on Windows at 100%, 125% and 150% scaling.</t>
        </is>
      </c>
      <c r="O176" s="2" t="inlineStr">
        <is>
          <t xml:space="preserve">Native WebView2 and Windows DPI scaling were not tested; Chromium only.</t>
        </is>
      </c>
      <c r="P176" s="2" t="inlineStr">
        <is>
          <t xml:space="preserve">backend/startup_screen.py; frontend/index.html</t>
        </is>
      </c>
      <c r="Q176" s="2" t="inlineStr">
        <is>
          <t xml:space="preserve">Implemented</t>
        </is>
      </c>
      <c r="R176" s="2" t="inlineStr">
        <is>
          <t xml:space="preserve">Unclassified</t>
        </is>
      </c>
      <c r="S176" s="2" t="inlineStr">
        <is>
          <t xml:space="preserve">Not started</t>
        </is>
      </c>
    </row>
    <row r="177">
      <c r="A177" s="2" t="inlineStr">
        <is>
          <t xml:space="preserve">DEP-005</t>
        </is>
      </c>
      <c r="B177" s="2" t="inlineStr">
        <is>
          <t xml:space="preserve">Desktop and Startup</t>
        </is>
      </c>
      <c r="C177" s="2" t="inlineStr">
        <is>
          <t xml:space="preserve">Windows › Desktop lifecycle (WebView2)</t>
        </is>
      </c>
      <c r="D177" s="2" t="inlineStr">
        <is>
          <t xml:space="preserve">The Windows desktop app starts, restores data, saves files natively and shuts down cleanly.</t>
        </is>
      </c>
      <c r="E177" s="2" t="inlineStr">
        <is>
          <t xml:space="preserve">Not set</t>
        </is>
      </c>
      <c r="F177" s="2" t="inlineStr">
        <is>
          <t xml:space="preserve">Blocked</t>
        </is>
      </c>
      <c r="G177" s="2" t="inlineStr">
        <is>
          <t xml:space="preserve">Pending</t>
        </is>
      </c>
      <c r="H177" s="2" t="inlineStr">
        <is>
          <t xml:space="preserve"/>
        </is>
      </c>
      <c r="I177" s="2" t="inlineStr">
        <is>
          <t xml:space="preserve"/>
        </is>
      </c>
      <c r="J177" s="2" t="inlineStr">
        <is>
          <t xml:space="preserve"/>
        </is>
      </c>
      <c r="K177" s="2" t="inlineStr">
        <is>
          <t xml:space="preserve">Not verified in Linux CI: needs a Windows host (see docs/development/TESTING.md, platform limits).</t>
        </is>
      </c>
      <c r="L177" s="2" t="inlineStr">
        <is>
          <t xml:space="preserve"/>
        </is>
      </c>
      <c r="M177" s="2" t="inlineStr">
        <is>
          <t xml:space="preserve"/>
        </is>
      </c>
      <c r="N177" s="2" t="inlineStr">
        <is>
          <t xml:space="preserve"/>
        </is>
      </c>
      <c r="O177" s="2" t="inlineStr">
        <is>
          <t xml:space="preserve"/>
        </is>
      </c>
      <c r="P177" s="2" t="inlineStr">
        <is>
          <t xml:space="preserve">docs/deployment/WINDOWS_DESKTOP.md</t>
        </is>
      </c>
      <c r="Q177" s="2" t="inlineStr">
        <is>
          <t xml:space="preserve">Not assessed</t>
        </is>
      </c>
      <c r="R177" s="2" t="inlineStr">
        <is>
          <t xml:space="preserve">Unclassified</t>
        </is>
      </c>
      <c r="S177" s="2" t="inlineStr">
        <is>
          <t xml:space="preserve">Not started</t>
        </is>
      </c>
    </row>
    <row r="178">
      <c r="A178" s="2" t="inlineStr">
        <is>
          <t xml:space="preserve">DEP-007</t>
        </is>
      </c>
      <c r="B178" s="2" t="inlineStr">
        <is>
          <t xml:space="preserve">Desktop and Startup</t>
        </is>
      </c>
      <c r="C178" s="2" t="inlineStr">
        <is>
          <t xml:space="preserve">Windows › Installer</t>
        </is>
      </c>
      <c r="D178" s="2" t="inlineStr">
        <is>
          <t xml:space="preserve">The installer installs, upgrades and removes the application without touching user data.</t>
        </is>
      </c>
      <c r="E178" s="2" t="inlineStr">
        <is>
          <t xml:space="preserve">Not set</t>
        </is>
      </c>
      <c r="F178" s="2" t="inlineStr">
        <is>
          <t xml:space="preserve">Blocked</t>
        </is>
      </c>
      <c r="G178" s="2" t="inlineStr">
        <is>
          <t xml:space="preserve">Pending</t>
        </is>
      </c>
      <c r="H178" s="2" t="inlineStr">
        <is>
          <t xml:space="preserve"/>
        </is>
      </c>
      <c r="I178" s="2" t="inlineStr">
        <is>
          <t xml:space="preserve"/>
        </is>
      </c>
      <c r="J178" s="2" t="inlineStr">
        <is>
          <t xml:space="preserve"/>
        </is>
      </c>
      <c r="K178" s="2" t="inlineStr">
        <is>
          <t xml:space="preserve">Not verified in Linux CI: needs a Windows host (see docs/development/TESTING.md, platform limits).</t>
        </is>
      </c>
      <c r="L178" s="2" t="inlineStr">
        <is>
          <t xml:space="preserve"/>
        </is>
      </c>
      <c r="M178" s="2" t="inlineStr">
        <is>
          <t xml:space="preserve"/>
        </is>
      </c>
      <c r="N178" s="2" t="inlineStr">
        <is>
          <t xml:space="preserve"/>
        </is>
      </c>
      <c r="O178" s="2" t="inlineStr">
        <is>
          <t xml:space="preserve"/>
        </is>
      </c>
      <c r="P178" s="2" t="inlineStr">
        <is>
          <t xml:space="preserve">docs/deployment/WINDOWS_DESKTOP.md</t>
        </is>
      </c>
      <c r="Q178" s="2" t="inlineStr">
        <is>
          <t xml:space="preserve">Not assessed</t>
        </is>
      </c>
      <c r="R178" s="2" t="inlineStr">
        <is>
          <t xml:space="preserve">Unclassified</t>
        </is>
      </c>
      <c r="S178" s="2" t="inlineStr">
        <is>
          <t xml:space="preserve">Not started</t>
        </is>
      </c>
    </row>
    <row r="179">
      <c r="A179" s="2" t="inlineStr">
        <is>
          <t xml:space="preserve">DEP-006</t>
        </is>
      </c>
      <c r="B179" s="2" t="inlineStr">
        <is>
          <t xml:space="preserve">Server and Deployment</t>
        </is>
      </c>
      <c r="C179" s="2" t="inlineStr">
        <is>
          <t xml:space="preserve">Windows › Windows Service</t>
        </is>
      </c>
      <c r="D179" s="2" t="inlineStr">
        <is>
          <t xml:space="preserve">The server runs as a Windows service with start, stop and recovery.</t>
        </is>
      </c>
      <c r="E179" s="2" t="inlineStr">
        <is>
          <t xml:space="preserve">Not set</t>
        </is>
      </c>
      <c r="F179" s="2" t="inlineStr">
        <is>
          <t xml:space="preserve">Blocked</t>
        </is>
      </c>
      <c r="G179" s="2" t="inlineStr">
        <is>
          <t xml:space="preserve">Pending</t>
        </is>
      </c>
      <c r="H179" s="2" t="inlineStr">
        <is>
          <t xml:space="preserve"/>
        </is>
      </c>
      <c r="I179" s="2" t="inlineStr">
        <is>
          <t xml:space="preserve"/>
        </is>
      </c>
      <c r="J179" s="2" t="inlineStr">
        <is>
          <t xml:space="preserve"/>
        </is>
      </c>
      <c r="K179" s="2" t="inlineStr">
        <is>
          <t xml:space="preserve">Not verified in Linux CI: needs a Windows host (see docs/development/TESTING.md, platform limits).</t>
        </is>
      </c>
      <c r="L179" s="2" t="inlineStr">
        <is>
          <t xml:space="preserve"/>
        </is>
      </c>
      <c r="M179" s="2" t="inlineStr">
        <is>
          <t xml:space="preserve"/>
        </is>
      </c>
      <c r="N179" s="2" t="inlineStr">
        <is>
          <t xml:space="preserve"/>
        </is>
      </c>
      <c r="O179" s="2" t="inlineStr">
        <is>
          <t xml:space="preserve"/>
        </is>
      </c>
      <c r="P179" s="2" t="inlineStr">
        <is>
          <t xml:space="preserve">docs/deployment/WINDOWS_SERVICE.md</t>
        </is>
      </c>
      <c r="Q179" s="2" t="inlineStr">
        <is>
          <t xml:space="preserve">Not assessed</t>
        </is>
      </c>
      <c r="R179" s="2" t="inlineStr">
        <is>
          <t xml:space="preserve">Unclassified</t>
        </is>
      </c>
      <c r="S179" s="2" t="inlineStr">
        <is>
          <t xml:space="preserve">Not started</t>
        </is>
      </c>
    </row>
    <row r="180">
      <c r="A180" s="2" t="inlineStr">
        <is>
          <t xml:space="preserve">DEP-008</t>
        </is>
      </c>
      <c r="B180" s="2" t="inlineStr">
        <is>
          <t xml:space="preserve">Server and Deployment</t>
        </is>
      </c>
      <c r="C180" s="2" t="inlineStr">
        <is>
          <t xml:space="preserve">Linux › Docker and native packages</t>
        </is>
      </c>
      <c r="D180" s="2" t="inlineStr">
        <is>
          <t xml:space="preserve">Linux packages start, report health and keep data in the configured directory.</t>
        </is>
      </c>
      <c r="E180" s="2" t="inlineStr">
        <is>
          <t xml:space="preserve">Not set</t>
        </is>
      </c>
      <c r="F180" s="2" t="inlineStr">
        <is>
          <t xml:space="preserve">Not tested</t>
        </is>
      </c>
      <c r="G180" s="2" t="inlineStr">
        <is>
          <t xml:space="preserve">Pending</t>
        </is>
      </c>
      <c r="H180" s="2" t="inlineStr">
        <is>
          <t xml:space="preserve"/>
        </is>
      </c>
      <c r="I180" s="2" t="inlineStr">
        <is>
          <t xml:space="preserve"/>
        </is>
      </c>
      <c r="J180" s="2" t="inlineStr">
        <is>
          <t xml:space="preserve"/>
        </is>
      </c>
      <c r="K180" s="2" t="inlineStr">
        <is>
          <t xml:space="preserve"/>
        </is>
      </c>
      <c r="L180" s="2" t="inlineStr">
        <is>
          <t xml:space="preserve"/>
        </is>
      </c>
      <c r="M180" s="2" t="inlineStr">
        <is>
          <t xml:space="preserve"/>
        </is>
      </c>
      <c r="N180" s="2" t="inlineStr">
        <is>
          <t xml:space="preserve"/>
        </is>
      </c>
      <c r="O180" s="2" t="inlineStr">
        <is>
          <t xml:space="preserve"/>
        </is>
      </c>
      <c r="P180" s="2" t="inlineStr">
        <is>
          <t xml:space="preserve">docs/deployment/LINUX_DOCKER.md</t>
        </is>
      </c>
      <c r="Q180" s="2" t="inlineStr">
        <is>
          <t xml:space="preserve">Not assessed</t>
        </is>
      </c>
      <c r="R180" s="2" t="inlineStr">
        <is>
          <t xml:space="preserve">Unclassified</t>
        </is>
      </c>
      <c r="S180" s="2" t="inlineStr">
        <is>
          <t xml:space="preserve">Not started</t>
        </is>
      </c>
    </row>
    <row r="181">
      <c r="A181" s="2" t="inlineStr">
        <is>
          <t xml:space="preserve">DEP-009</t>
        </is>
      </c>
      <c r="B181" s="2" t="inlineStr">
        <is>
          <t xml:space="preserve">Server and Deployment</t>
        </is>
      </c>
      <c r="C181" s="2" t="inlineStr">
        <is>
          <t xml:space="preserve">Release › Release artifacts</t>
        </is>
      </c>
      <c r="D181" s="2" t="inlineStr">
        <is>
          <t xml:space="preserve">Release artifacts contain no examples or private data and match the published checksums.</t>
        </is>
      </c>
      <c r="E181" s="2" t="inlineStr">
        <is>
          <t xml:space="preserve">Not set</t>
        </is>
      </c>
      <c r="F181" s="2" t="inlineStr">
        <is>
          <t xml:space="preserve">Not tested</t>
        </is>
      </c>
      <c r="G181" s="2" t="inlineStr">
        <is>
          <t xml:space="preserve">Pending</t>
        </is>
      </c>
      <c r="H181" s="2" t="inlineStr">
        <is>
          <t xml:space="preserve"/>
        </is>
      </c>
      <c r="I181" s="2" t="inlineStr">
        <is>
          <t xml:space="preserve"/>
        </is>
      </c>
      <c r="J181" s="2" t="inlineStr">
        <is>
          <t xml:space="preserve"/>
        </is>
      </c>
      <c r="K181" s="2" t="inlineStr">
        <is>
          <t xml:space="preserve"/>
        </is>
      </c>
      <c r="L181" s="2" t="inlineStr">
        <is>
          <t xml:space="preserve"/>
        </is>
      </c>
      <c r="M181" s="2" t="inlineStr">
        <is>
          <t xml:space="preserve"/>
        </is>
      </c>
      <c r="N181" s="2" t="inlineStr">
        <is>
          <t xml:space="preserve"/>
        </is>
      </c>
      <c r="O181" s="2" t="inlineStr">
        <is>
          <t xml:space="preserve"/>
        </is>
      </c>
      <c r="P181" s="2" t="inlineStr">
        <is>
          <t xml:space="preserve">docs/deployment/RELEASES.md</t>
        </is>
      </c>
      <c r="Q181" s="2" t="inlineStr">
        <is>
          <t xml:space="preserve">Not assessed</t>
        </is>
      </c>
      <c r="R181" s="2" t="inlineStr">
        <is>
          <t xml:space="preserve">Unclassified</t>
        </is>
      </c>
      <c r="S181" s="2" t="inlineStr">
        <is>
          <t xml:space="preserve">Not started</t>
        </is>
      </c>
    </row>
    <row r="182">
      <c r="A182" s="2" t="inlineStr">
        <is>
          <t xml:space="preserve">UI-012</t>
        </is>
      </c>
      <c r="B182" s="2" t="inlineStr">
        <is>
          <t xml:space="preserve">Accessibility and Responsive Design</t>
        </is>
      </c>
      <c r="C182" s="2" t="inlineStr">
        <is>
          <t xml:space="preserve">Layout › Responsive layout</t>
        </is>
      </c>
      <c r="D182" s="2" t="inlineStr">
        <is>
          <t xml:space="preserve">Every page has no horizontal page scroll at 375, 800, 1280 and 1600 px in both themes.</t>
        </is>
      </c>
      <c r="E182" s="2" t="inlineStr">
        <is>
          <t xml:space="preserve">Not set</t>
        </is>
      </c>
      <c r="F182" s="2" t="inlineStr">
        <is>
          <t xml:space="preserve">Not tested</t>
        </is>
      </c>
      <c r="G182" s="2" t="inlineStr">
        <is>
          <t xml:space="preserve">Pending</t>
        </is>
      </c>
      <c r="H182" s="2" t="inlineStr">
        <is>
          <t xml:space="preserve"/>
        </is>
      </c>
      <c r="I182" s="2" t="inlineStr">
        <is>
          <t xml:space="preserve"/>
        </is>
      </c>
      <c r="J182" s="2" t="inlineStr">
        <is>
          <t xml:space="preserve"/>
        </is>
      </c>
      <c r="K182" s="2" t="inlineStr">
        <is>
          <t xml:space="preserve"/>
        </is>
      </c>
      <c r="L182" s="2" t="inlineStr">
        <is>
          <t xml:space="preserve"/>
        </is>
      </c>
      <c r="M182" s="2" t="inlineStr">
        <is>
          <t xml:space="preserve"/>
        </is>
      </c>
      <c r="N182" s="2" t="inlineStr">
        <is>
          <t xml:space="preserve"/>
        </is>
      </c>
      <c r="O182" s="2" t="inlineStr">
        <is>
          <t xml:space="preserve"/>
        </is>
      </c>
      <c r="P182" s="2" t="inlineStr">
        <is>
          <t xml:space="preserve">docs/architecture/DESIGN_SYSTEM.md; frontend/tests/refinement-completion.spec.ts</t>
        </is>
      </c>
      <c r="Q182" s="2" t="inlineStr">
        <is>
          <t xml:space="preserve">Not assessed</t>
        </is>
      </c>
      <c r="R182" s="2" t="inlineStr">
        <is>
          <t xml:space="preserve">Unclassified</t>
        </is>
      </c>
      <c r="S182" s="2" t="inlineStr">
        <is>
          <t xml:space="preserve">Not started</t>
        </is>
      </c>
    </row>
    <row r="183">
      <c r="A183" s="2" t="inlineStr">
        <is>
          <t xml:space="preserve">UI-013</t>
        </is>
      </c>
      <c r="B183" s="2" t="inlineStr">
        <is>
          <t xml:space="preserve">Accessibility and Responsive Design</t>
        </is>
      </c>
      <c r="C183" s="2" t="inlineStr">
        <is>
          <t xml:space="preserve">Accessibility › Keyboard and focus</t>
        </is>
      </c>
      <c r="D183" s="2" t="inlineStr">
        <is>
          <t xml:space="preserve">All controls are keyboard reachable, focus rings are visible and unclipped, and DOM order equals visual order.</t>
        </is>
      </c>
      <c r="E183" s="2" t="inlineStr">
        <is>
          <t xml:space="preserve">Not set</t>
        </is>
      </c>
      <c r="F183" s="2" t="inlineStr">
        <is>
          <t xml:space="preserve">Not tested</t>
        </is>
      </c>
      <c r="G183" s="2" t="inlineStr">
        <is>
          <t xml:space="preserve">Pending</t>
        </is>
      </c>
      <c r="H183" s="2" t="inlineStr">
        <is>
          <t xml:space="preserve"/>
        </is>
      </c>
      <c r="I183" s="2" t="inlineStr">
        <is>
          <t xml:space="preserve"/>
        </is>
      </c>
      <c r="J183" s="2" t="inlineStr">
        <is>
          <t xml:space="preserve"/>
        </is>
      </c>
      <c r="K183" s="2" t="inlineStr">
        <is>
          <t xml:space="preserve"/>
        </is>
      </c>
      <c r="L183" s="2" t="inlineStr">
        <is>
          <t xml:space="preserve"/>
        </is>
      </c>
      <c r="M183" s="2" t="inlineStr">
        <is>
          <t xml:space="preserve"/>
        </is>
      </c>
      <c r="N183" s="2" t="inlineStr">
        <is>
          <t xml:space="preserve"/>
        </is>
      </c>
      <c r="O183" s="2" t="inlineStr">
        <is>
          <t xml:space="preserve"/>
        </is>
      </c>
      <c r="P183" s="2" t="inlineStr">
        <is>
          <t xml:space="preserve">docs/architecture/DESIGN_SYSTEM.md; frontend/tests/a11y-audit.spec.ts, frontend/tests/navigation-a11y.spec.ts</t>
        </is>
      </c>
      <c r="Q183" s="2" t="inlineStr">
        <is>
          <t xml:space="preserve">Not assessed</t>
        </is>
      </c>
      <c r="R183" s="2" t="inlineStr">
        <is>
          <t xml:space="preserve">Unclassified</t>
        </is>
      </c>
      <c r="S183" s="2" t="inlineStr">
        <is>
          <t xml:space="preserve">Not started</t>
        </is>
      </c>
    </row>
    <row r="184">
      <c r="A184" s="2" t="inlineStr">
        <is>
          <t xml:space="preserve">UI-022</t>
        </is>
      </c>
      <c r="B184" s="2" t="inlineStr">
        <is>
          <t xml:space="preserve">Accessibility and Responsive Design</t>
        </is>
      </c>
      <c r="C184" s="2" t="inlineStr">
        <is>
          <t xml:space="preserve">All pages › Rounded, consistent keyboard focus ring and interaction states</t>
        </is>
      </c>
      <c r="D184" s="2" t="inlineStr">
        <is>
          <t xml:space="preserve">Keyboard focus is one clearly visible rounded ring from the shared tokens; hover, radius, padding and alignment of shared controls are consistent.</t>
        </is>
      </c>
      <c r="E184" s="2" t="inlineStr">
        <is>
          <t xml:space="preserve">Not set</t>
        </is>
      </c>
      <c r="F184" s="2" t="inlineStr">
        <is>
          <t xml:space="preserve">Not tested</t>
        </is>
      </c>
      <c r="G184" s="2" t="inlineStr">
        <is>
          <t xml:space="preserve">Pending</t>
        </is>
      </c>
      <c r="H184" s="2" t="inlineStr">
        <is>
          <t xml:space="preserve">frontend/tests/status-consistency-r6.spec.ts (keyboard walk of SoD pages and Settings in both themes); frontend/tests/a11y-audit.spec.ts; frontend/tests/sod-reviews-r6.spec.ts</t>
        </is>
      </c>
      <c r="I184" s="2" t="inlineStr">
        <is>
          <t xml:space="preserve"/>
        </is>
      </c>
      <c r="J184" s="2" t="inlineStr">
        <is>
          <t xml:space="preserve"/>
        </is>
      </c>
      <c r="K184" s="2" t="inlineStr">
        <is>
          <t xml:space="preserve"/>
        </is>
      </c>
      <c r="L184" s="2" t="inlineStr">
        <is>
          <t xml:space="preserve"/>
        </is>
      </c>
      <c r="M184" s="2" t="inlineStr">
        <is>
          <t xml:space="preserve"/>
        </is>
      </c>
      <c r="N184" s="2" t="inlineStr">
        <is>
          <t xml:space="preserve">Tab through the main pages in light and dark and judge whether the ring is clear and consistent.</t>
        </is>
      </c>
      <c r="O184" s="2" t="inlineStr">
        <is>
          <t xml:space="preserve">The keyboard walk covers the SoD pages and Settings; Role Lookup, User Access and dialogs were not walked by the new check (existing accessibility specs cover them).</t>
        </is>
      </c>
      <c r="P184" s="2" t="inlineStr">
        <is>
          <t xml:space="preserve">frontend/src/styles/components.css; frontend/src/styles/tokens.css</t>
        </is>
      </c>
      <c r="Q184" s="2" t="inlineStr">
        <is>
          <t xml:space="preserve">Implemented</t>
        </is>
      </c>
      <c r="R184" s="2" t="inlineStr">
        <is>
          <t xml:space="preserve">Unclassified</t>
        </is>
      </c>
      <c r="S184" s="2" t="inlineStr">
        <is>
          <t xml:space="preserve">Not started</t>
        </is>
      </c>
    </row>
    <row r="185">
      <c r="A185" s="2" t="inlineStr">
        <is>
          <t xml:space="preserve">DEP-001</t>
        </is>
      </c>
      <c r="B185" s="2" t="inlineStr">
        <is>
          <t xml:space="preserve">Security and Data Integrity</t>
        </is>
      </c>
      <c r="C185" s="2" t="inlineStr">
        <is>
          <t xml:space="preserve">Runtime › Local binding and origin checks</t>
        </is>
      </c>
      <c r="D185" s="2" t="inlineStr">
        <is>
          <t xml:space="preserve">The desktop server binds only to 127.0.0.1 and enforces host and origin checks.</t>
        </is>
      </c>
      <c r="E185" s="2" t="inlineStr">
        <is>
          <t xml:space="preserve">Not set</t>
        </is>
      </c>
      <c r="F185" s="2" t="inlineStr">
        <is>
          <t xml:space="preserve">Not tested</t>
        </is>
      </c>
      <c r="G185" s="2" t="inlineStr">
        <is>
          <t xml:space="preserve">Pending</t>
        </is>
      </c>
      <c r="H185" s="2" t="inlineStr">
        <is>
          <t xml:space="preserve"/>
        </is>
      </c>
      <c r="I185" s="2" t="inlineStr">
        <is>
          <t xml:space="preserve"/>
        </is>
      </c>
      <c r="J185" s="2" t="inlineStr">
        <is>
          <t xml:space="preserve"/>
        </is>
      </c>
      <c r="K185" s="2" t="inlineStr">
        <is>
          <t xml:space="preserve"/>
        </is>
      </c>
      <c r="L185" s="2" t="inlineStr">
        <is>
          <t xml:space="preserve"/>
        </is>
      </c>
      <c r="M185" s="2" t="inlineStr">
        <is>
          <t xml:space="preserve"/>
        </is>
      </c>
      <c r="N185" s="2" t="inlineStr">
        <is>
          <t xml:space="preserve"/>
        </is>
      </c>
      <c r="O185" s="2" t="inlineStr">
        <is>
          <t xml:space="preserve"/>
        </is>
      </c>
      <c r="P185" s="2" t="inlineStr">
        <is>
          <t xml:space="preserve">docs/architecture/SECURITY.md; frontend/tests/desktop.spec.ts</t>
        </is>
      </c>
      <c r="Q185" s="2" t="inlineStr">
        <is>
          <t xml:space="preserve">Not assessed</t>
        </is>
      </c>
      <c r="R185" s="2" t="inlineStr">
        <is>
          <t xml:space="preserve">Unclassified</t>
        </is>
      </c>
      <c r="S185" s="2" t="inlineStr">
        <is>
          <t xml:space="preserve">Not started</t>
        </is>
      </c>
    </row>
    <row r="186">
      <c r="A186" s="2" t="inlineStr">
        <is>
          <t xml:space="preserve">DEP-002</t>
        </is>
      </c>
      <c r="B186" s="2" t="inlineStr">
        <is>
          <t xml:space="preserve">Security and Data Integrity</t>
        </is>
      </c>
      <c r="C186" s="2" t="inlineStr">
        <is>
          <t xml:space="preserve">Runtime › Server mode authentication</t>
        </is>
      </c>
      <c r="D186" s="2" t="inlineStr">
        <is>
          <t xml:space="preserve">Server mode uses separate storage, authenticates requests and keeps uploads local to the server.</t>
        </is>
      </c>
      <c r="E186" s="2" t="inlineStr">
        <is>
          <t xml:space="preserve">Not set</t>
        </is>
      </c>
      <c r="F186" s="2" t="inlineStr">
        <is>
          <t xml:space="preserve">Not tested</t>
        </is>
      </c>
      <c r="G186" s="2" t="inlineStr">
        <is>
          <t xml:space="preserve">Pending</t>
        </is>
      </c>
      <c r="H186" s="2" t="inlineStr">
        <is>
          <t xml:space="preserve"/>
        </is>
      </c>
      <c r="I186" s="2" t="inlineStr">
        <is>
          <t xml:space="preserve"/>
        </is>
      </c>
      <c r="J186" s="2" t="inlineStr">
        <is>
          <t xml:space="preserve"/>
        </is>
      </c>
      <c r="K186" s="2" t="inlineStr">
        <is>
          <t xml:space="preserve"/>
        </is>
      </c>
      <c r="L186" s="2" t="inlineStr">
        <is>
          <t xml:space="preserve">SEC-02; SEC-03</t>
        </is>
      </c>
      <c r="M186" s="2" t="inlineStr">
        <is>
          <t xml:space="preserve">Throttle failed Basic logins and tighten secret-file permissions after a compatibility review (see SEC-003).</t>
        </is>
      </c>
      <c r="N186" s="2" t="inlineStr">
        <is>
          <t xml:space="preserve"/>
        </is>
      </c>
      <c r="O186" s="2" t="inlineStr">
        <is>
          <t xml:space="preserve"/>
        </is>
      </c>
      <c r="P186" s="2" t="inlineStr">
        <is>
          <t xml:space="preserve">docs/deployment/SECURITY.md; frontend/tests/server-deployment.spec.ts</t>
        </is>
      </c>
      <c r="Q186" s="2" t="inlineStr">
        <is>
          <t xml:space="preserve">Not assessed</t>
        </is>
      </c>
      <c r="R186" s="2" t="inlineStr">
        <is>
          <t xml:space="preserve">Unclassified</t>
        </is>
      </c>
      <c r="S186" s="2" t="inlineStr">
        <is>
          <t xml:space="preserve">Not started</t>
        </is>
      </c>
    </row>
    <row r="187">
      <c r="A187" s="2" t="inlineStr">
        <is>
          <t xml:space="preserve">DEP-003</t>
        </is>
      </c>
      <c r="B187" s="2" t="inlineStr">
        <is>
          <t xml:space="preserve">Security and Data Integrity</t>
        </is>
      </c>
      <c r="C187" s="2" t="inlineStr">
        <is>
          <t xml:space="preserve">Privacy › No private data in packages</t>
        </is>
      </c>
      <c r="D187" s="2" t="inlineStr">
        <is>
          <t xml:space="preserve">Role exports, local settings, logs and credentials are never committed or packaged.</t>
        </is>
      </c>
      <c r="E187" s="2" t="inlineStr">
        <is>
          <t xml:space="preserve">Not set</t>
        </is>
      </c>
      <c r="F187" s="2" t="inlineStr">
        <is>
          <t xml:space="preserve">Not tested</t>
        </is>
      </c>
      <c r="G187" s="2" t="inlineStr">
        <is>
          <t xml:space="preserve">Pending</t>
        </is>
      </c>
      <c r="H187" s="2" t="inlineStr">
        <is>
          <t xml:space="preserve"/>
        </is>
      </c>
      <c r="I187" s="2" t="inlineStr">
        <is>
          <t xml:space="preserve"/>
        </is>
      </c>
      <c r="J187" s="2" t="inlineStr">
        <is>
          <t xml:space="preserve"/>
        </is>
      </c>
      <c r="K187" s="2" t="inlineStr">
        <is>
          <t xml:space="preserve"/>
        </is>
      </c>
      <c r="L187" s="2" t="inlineStr">
        <is>
          <t xml:space="preserve"/>
        </is>
      </c>
      <c r="M187" s="2" t="inlineStr">
        <is>
          <t xml:space="preserve"/>
        </is>
      </c>
      <c r="N187" s="2" t="inlineStr">
        <is>
          <t xml:space="preserve"/>
        </is>
      </c>
      <c r="O187" s="2" t="inlineStr">
        <is>
          <t xml:space="preserve"/>
        </is>
      </c>
      <c r="P187" s="2" t="inlineStr">
        <is>
          <t xml:space="preserve">docs/architecture/PRIVACY.md</t>
        </is>
      </c>
      <c r="Q187" s="2" t="inlineStr">
        <is>
          <t xml:space="preserve">Not assessed</t>
        </is>
      </c>
      <c r="R187" s="2" t="inlineStr">
        <is>
          <t xml:space="preserve">Unclassified</t>
        </is>
      </c>
      <c r="S187" s="2" t="inlineStr">
        <is>
          <t xml:space="preserve">Not started</t>
        </is>
      </c>
    </row>
    <row r="188">
      <c r="A188" s="2" t="inlineStr">
        <is>
          <t xml:space="preserve">DEP-004</t>
        </is>
      </c>
      <c r="B188" s="2" t="inlineStr">
        <is>
          <t xml:space="preserve">Security and Data Integrity</t>
        </is>
      </c>
      <c r="C188" s="2" t="inlineStr">
        <is>
          <t xml:space="preserve">Privacy › No cached role data</t>
        </is>
      </c>
      <c r="D188" s="2" t="inlineStr">
        <is>
          <t xml:space="preserve">No service worker or browser cache stores role data.</t>
        </is>
      </c>
      <c r="E188" s="2" t="inlineStr">
        <is>
          <t xml:space="preserve">Not set</t>
        </is>
      </c>
      <c r="F188" s="2" t="inlineStr">
        <is>
          <t xml:space="preserve">Not tested</t>
        </is>
      </c>
      <c r="G188" s="2" t="inlineStr">
        <is>
          <t xml:space="preserve">Pending</t>
        </is>
      </c>
      <c r="H188" s="2" t="inlineStr">
        <is>
          <t xml:space="preserve"/>
        </is>
      </c>
      <c r="I188" s="2" t="inlineStr">
        <is>
          <t xml:space="preserve"/>
        </is>
      </c>
      <c r="J188" s="2" t="inlineStr">
        <is>
          <t xml:space="preserve"/>
        </is>
      </c>
      <c r="K188" s="2" t="inlineStr">
        <is>
          <t xml:space="preserve"/>
        </is>
      </c>
      <c r="L188" s="2" t="inlineStr">
        <is>
          <t xml:space="preserve"/>
        </is>
      </c>
      <c r="M188" s="2" t="inlineStr">
        <is>
          <t xml:space="preserve"/>
        </is>
      </c>
      <c r="N188" s="2" t="inlineStr">
        <is>
          <t xml:space="preserve"/>
        </is>
      </c>
      <c r="O188" s="2" t="inlineStr">
        <is>
          <t xml:space="preserve"/>
        </is>
      </c>
      <c r="P188" s="2" t="inlineStr">
        <is>
          <t xml:space="preserve">docs/architecture/PRIVACY.md; frontend/tests/enterprise.spec.ts</t>
        </is>
      </c>
      <c r="Q188" s="2" t="inlineStr">
        <is>
          <t xml:space="preserve">Not assessed</t>
        </is>
      </c>
      <c r="R188" s="2" t="inlineStr">
        <is>
          <t xml:space="preserve">Unclassified</t>
        </is>
      </c>
      <c r="S188" s="2" t="inlineStr">
        <is>
          <t xml:space="preserve">Not started</t>
        </is>
      </c>
    </row>
    <row r="189">
      <c r="A189" s="2" t="inlineStr">
        <is>
          <t xml:space="preserve">SEC-001</t>
        </is>
      </c>
      <c r="B189" s="2" t="inlineStr">
        <is>
          <t xml:space="preserve">Security and Data Integrity</t>
        </is>
      </c>
      <c r="C189" s="2" t="inlineStr">
        <is>
          <t xml:space="preserve">API › Authentication boundary</t>
        </is>
      </c>
      <c r="D189" s="2" t="inlineStr">
        <is>
          <t xml:space="preserve">Every API operation refuses requests without the launch capability, with a foreign origin or host; in server mode every operation requires credentials and unsafe methods are refused.</t>
        </is>
      </c>
      <c r="E189" s="2" t="inlineStr">
        <is>
          <t xml:space="preserve">High</t>
        </is>
      </c>
      <c r="F189" s="2" t="inlineStr">
        <is>
          <t xml:space="preserve">Not tested</t>
        </is>
      </c>
      <c r="G189" s="2" t="inlineStr">
        <is>
          <t xml:space="preserve">Pending</t>
        </is>
      </c>
      <c r="H189" s="2" t="inlineStr">
        <is>
          <t xml:space="preserve">backend/tests/test_security_surface.py; backend/tests/test_server.py</t>
        </is>
      </c>
      <c r="I189" s="2" t="inlineStr">
        <is>
          <t xml:space="preserve"/>
        </is>
      </c>
      <c r="J189" s="2" t="inlineStr">
        <is>
          <t xml:space="preserve"/>
        </is>
      </c>
      <c r="K189" s="2" t="inlineStr">
        <is>
          <t xml:space="preserve">122 operations probed in the R8 security review.</t>
        </is>
      </c>
      <c r="L189" s="2" t="inlineStr">
        <is>
          <t xml:space="preserve">Controls verified (SECURITY_REVIEW_R8)</t>
        </is>
      </c>
      <c r="M189" s="2" t="inlineStr">
        <is>
          <t xml:space="preserve"/>
        </is>
      </c>
      <c r="N189" s="2" t="inlineStr">
        <is>
          <t xml:space="preserve">Review the boundary description in the security guide against the deployment.</t>
        </is>
      </c>
      <c r="O189" s="2" t="inlineStr">
        <is>
          <t xml:space="preserve"/>
        </is>
      </c>
      <c r="P189" s="2" t="inlineStr">
        <is>
          <t xml:space="preserve">backend/main.py; backend/deployment.py; docs/development/SECURITY_REVIEW_R8.md</t>
        </is>
      </c>
      <c r="Q189" s="2" t="inlineStr">
        <is>
          <t xml:space="preserve">Implemented</t>
        </is>
      </c>
      <c r="R189" s="2" t="inlineStr">
        <is>
          <t xml:space="preserve">Unclassified</t>
        </is>
      </c>
      <c r="S189" s="2" t="inlineStr">
        <is>
          <t xml:space="preserve">Not started</t>
        </is>
      </c>
    </row>
    <row r="190">
      <c r="A190" s="2" t="inlineStr">
        <is>
          <t xml:space="preserve">SEC-002</t>
        </is>
      </c>
      <c r="B190" s="2" t="inlineStr">
        <is>
          <t xml:space="preserve">Security and Data Integrity</t>
        </is>
      </c>
      <c r="C190" s="2" t="inlineStr">
        <is>
          <t xml:space="preserve">Exports › Spreadsheet formula neutralisation</t>
        </is>
      </c>
      <c r="D190" s="2" t="inlineStr">
        <is>
          <t xml:space="preserve">Every CSV export neutralises leading = + - @, tab, carriage return, control characters and a byte-order mark through one shared function.</t>
        </is>
      </c>
      <c r="E190" s="2" t="inlineStr">
        <is>
          <t xml:space="preserve">Medium</t>
        </is>
      </c>
      <c r="F190" s="2" t="inlineStr">
        <is>
          <t xml:space="preserve">Not tested</t>
        </is>
      </c>
      <c r="G190" s="2" t="inlineStr">
        <is>
          <t xml:space="preserve">Pending</t>
        </is>
      </c>
      <c r="H190" s="2" t="inlineStr">
        <is>
          <t xml:space="preserve">backend/tests/test_security_surface.py; backend/tests/test_assignment_exports.py</t>
        </is>
      </c>
      <c r="I190" s="2" t="inlineStr">
        <is>
          <t xml:space="preserve"/>
        </is>
      </c>
      <c r="J190" s="2" t="inlineStr">
        <is>
          <t xml:space="preserve"/>
        </is>
      </c>
      <c r="K190" s="2" t="inlineStr">
        <is>
          <t xml:space="preserve"/>
        </is>
      </c>
      <c r="L190" s="2" t="inlineStr">
        <is>
          <t xml:space="preserve">SEC-01 (resolved in R8)</t>
        </is>
      </c>
      <c r="M190" s="2" t="inlineStr">
        <is>
          <t xml:space="preserve"/>
        </is>
      </c>
      <c r="N190" s="2" t="inlineStr">
        <is>
          <t xml:space="preserve">Open an export containing a value that starts with = in a spreadsheet.</t>
        </is>
      </c>
      <c r="O190" s="2" t="inlineStr">
        <is>
          <t xml:space="preserve"/>
        </is>
      </c>
      <c r="P190" s="2" t="inlineStr">
        <is>
          <t xml:space="preserve">backend/csv_exports.py; backend/routers/data_sources.py</t>
        </is>
      </c>
      <c r="Q190" s="2" t="inlineStr">
        <is>
          <t xml:space="preserve">Implemented</t>
        </is>
      </c>
      <c r="R190" s="2" t="inlineStr">
        <is>
          <t xml:space="preserve">Unclassified</t>
        </is>
      </c>
      <c r="S190" s="2" t="inlineStr">
        <is>
          <t xml:space="preserve">Not started</t>
        </is>
      </c>
    </row>
    <row r="191">
      <c r="A191" s="2" t="inlineStr">
        <is>
          <t xml:space="preserve">SEC-003</t>
        </is>
      </c>
      <c r="B191" s="2" t="inlineStr">
        <is>
          <t xml:space="preserve">Security and Data Integrity</t>
        </is>
      </c>
      <c r="C191" s="2" t="inlineStr">
        <is>
          <t xml:space="preserve">Server › Access secret and brute-force protection</t>
        </is>
      </c>
      <c r="D191" s="2" t="inlineStr">
        <is>
          <t xml:space="preserve">Basic or proxy authentication uses a 32 to 256 character secret, constant-time comparison and a secret file that other users cannot read.</t>
        </is>
      </c>
      <c r="E191" s="2" t="inlineStr">
        <is>
          <t xml:space="preserve">Medium</t>
        </is>
      </c>
      <c r="F191" s="2" t="inlineStr">
        <is>
          <t xml:space="preserve">Not tested</t>
        </is>
      </c>
      <c r="G191" s="2" t="inlineStr">
        <is>
          <t xml:space="preserve">Pending</t>
        </is>
      </c>
      <c r="H191" s="2" t="inlineStr">
        <is>
          <t xml:space="preserve">backend/tests/test_security_surface.py; backend/tests/test_server.py</t>
        </is>
      </c>
      <c r="I191" s="2" t="inlineStr">
        <is>
          <t xml:space="preserve"/>
        </is>
      </c>
      <c r="J191" s="2" t="inlineStr">
        <is>
          <t xml:space="preserve"/>
        </is>
      </c>
      <c r="K191" s="2" t="inlineStr">
        <is>
          <t xml:space="preserve">No throttling of failed Basic logins; group-readable secret files are accepted (documented limitations).</t>
        </is>
      </c>
      <c r="L191" s="2" t="inlineStr">
        <is>
          <t xml:space="preserve">SEC-02; SEC-03</t>
        </is>
      </c>
      <c r="M191" s="2" t="inlineStr">
        <is>
          <t xml:space="preserve">Throttle failed logins at the gateway or in the application, and reject group-readable secret files after a compatibility review of systemd and container secret mounts.</t>
        </is>
      </c>
      <c r="N191" s="2" t="inlineStr">
        <is>
          <t xml:space="preserve">Confirm the proxy or gateway throttles failed logins.</t>
        </is>
      </c>
      <c r="O191" s="2" t="inlineStr">
        <is>
          <t xml:space="preserve">Throttling and group permissions are open decisions (SECURITY_REVIEW_R8).</t>
        </is>
      </c>
      <c r="P191" s="2" t="inlineStr">
        <is>
          <t xml:space="preserve">backend/deployment.py; docs/deployment/SECURITY.md</t>
        </is>
      </c>
      <c r="Q191" s="2" t="inlineStr">
        <is>
          <t xml:space="preserve">Implemented</t>
        </is>
      </c>
      <c r="R191" s="2" t="inlineStr">
        <is>
          <t xml:space="preserve">Unclassified</t>
        </is>
      </c>
      <c r="S191" s="2" t="inlineStr">
        <is>
          <t xml:space="preserve">Not started</t>
        </is>
      </c>
    </row>
    <row r="192">
      <c r="A192" s="2" t="inlineStr">
        <is>
          <t xml:space="preserve">SEC-004</t>
        </is>
      </c>
      <c r="B192" s="2" t="inlineStr">
        <is>
          <t xml:space="preserve">Security and Data Integrity</t>
        </is>
      </c>
      <c r="C192" s="2" t="inlineStr">
        <is>
          <t xml:space="preserve">Server › Source path confinement and uploads</t>
        </is>
      </c>
      <c r="D192" s="2" t="inlineStr">
        <is>
          <t xml:space="preserve">Server mode reads CSVs only under the source root or managed uploads (symbolic links resolved) and uploads use server-generated names and bounded streams.</t>
        </is>
      </c>
      <c r="E192" s="2" t="inlineStr">
        <is>
          <t xml:space="preserve">High</t>
        </is>
      </c>
      <c r="F192" s="2" t="inlineStr">
        <is>
          <t xml:space="preserve">Not tested</t>
        </is>
      </c>
      <c r="G192" s="2" t="inlineStr">
        <is>
          <t xml:space="preserve">Pending</t>
        </is>
      </c>
      <c r="H192" s="2" t="inlineStr">
        <is>
          <t xml:space="preserve">backend/tests/test_server.py</t>
        </is>
      </c>
      <c r="I192" s="2" t="inlineStr">
        <is>
          <t xml:space="preserve"/>
        </is>
      </c>
      <c r="J192" s="2" t="inlineStr">
        <is>
          <t xml:space="preserve"/>
        </is>
      </c>
      <c r="K192" s="2" t="inlineStr">
        <is>
          <t xml:space="preserve"/>
        </is>
      </c>
      <c r="L192" s="2" t="inlineStr">
        <is>
          <t xml:space="preserve">Controls verified (SECURITY_REVIEW_R8)</t>
        </is>
      </c>
      <c r="M192" s="2" t="inlineStr">
        <is>
          <t xml:space="preserve"/>
        </is>
      </c>
      <c r="N192" s="2" t="inlineStr">
        <is>
          <t xml:space="preserve"/>
        </is>
      </c>
      <c r="O192" s="2" t="inlineStr">
        <is>
          <t xml:space="preserve"/>
        </is>
      </c>
      <c r="P192" s="2" t="inlineStr">
        <is>
          <t xml:space="preserve">backend/deployment.py; backend/server_uploads.py</t>
        </is>
      </c>
      <c r="Q192" s="2" t="inlineStr">
        <is>
          <t xml:space="preserve">Implemented</t>
        </is>
      </c>
      <c r="R192" s="2" t="inlineStr">
        <is>
          <t xml:space="preserve">Unclassified</t>
        </is>
      </c>
      <c r="S192" s="2" t="inlineStr">
        <is>
          <t xml:space="preserve">Not started</t>
        </is>
      </c>
    </row>
    <row r="193">
      <c r="A193" s="2" t="inlineStr">
        <is>
          <t xml:space="preserve">SEC-005</t>
        </is>
      </c>
      <c r="B193" s="2" t="inlineStr">
        <is>
          <t xml:space="preserve">Security and Data Integrity</t>
        </is>
      </c>
      <c r="C193" s="2" t="inlineStr">
        <is>
          <t xml:space="preserve">API › Response headers and content security policy</t>
        </is>
      </c>
      <c r="D193" s="2" t="inlineStr">
        <is>
          <t xml:space="preserve">Responses carry nosniff, frame denial and no-store for API calls; the content security policy forbids unsafe scripts.</t>
        </is>
      </c>
      <c r="E193" s="2" t="inlineStr">
        <is>
          <t xml:space="preserve">Low</t>
        </is>
      </c>
      <c r="F193" s="2" t="inlineStr">
        <is>
          <t xml:space="preserve">Not tested</t>
        </is>
      </c>
      <c r="G193" s="2" t="inlineStr">
        <is>
          <t xml:space="preserve">Pending</t>
        </is>
      </c>
      <c r="H193" s="2" t="inlineStr">
        <is>
          <t xml:space="preserve">backend/tests/test_security_surface.py</t>
        </is>
      </c>
      <c r="I193" s="2" t="inlineStr">
        <is>
          <t xml:space="preserve"/>
        </is>
      </c>
      <c r="J193" s="2" t="inlineStr">
        <is>
          <t xml:space="preserve"/>
        </is>
      </c>
      <c r="K193" s="2" t="inlineStr">
        <is>
          <t xml:space="preserve"/>
        </is>
      </c>
      <c r="L193" s="2" t="inlineStr">
        <is>
          <t xml:space="preserve">SEC-04</t>
        </is>
      </c>
      <c r="M193" s="2" t="inlineStr">
        <is>
          <t xml:space="preserve">Add a Permissions-Policy header and document HSTS at the TLS-terminating proxy.</t>
        </is>
      </c>
      <c r="N193" s="2" t="inlineStr">
        <is>
          <t xml:space="preserve"/>
        </is>
      </c>
      <c r="O193" s="2" t="inlineStr">
        <is>
          <t xml:space="preserve"/>
        </is>
      </c>
      <c r="P193" s="2" t="inlineStr">
        <is>
          <t xml:space="preserve">backend/main.py</t>
        </is>
      </c>
      <c r="Q193" s="2" t="inlineStr">
        <is>
          <t xml:space="preserve">Implemented</t>
        </is>
      </c>
      <c r="R193" s="2" t="inlineStr">
        <is>
          <t xml:space="preserve">Unclassified</t>
        </is>
      </c>
      <c r="S193" s="2" t="inlineStr">
        <is>
          <t xml:space="preserve">Not started</t>
        </is>
      </c>
    </row>
    <row r="194">
      <c r="A194" s="2" t="inlineStr">
        <is>
          <t xml:space="preserve">SEC-006</t>
        </is>
      </c>
      <c r="B194" s="2" t="inlineStr">
        <is>
          <t xml:space="preserve">Security and Data Integrity</t>
        </is>
      </c>
      <c r="C194" s="2" t="inlineStr">
        <is>
          <t xml:space="preserve">Dependencies › Vulnerability audits</t>
        </is>
      </c>
      <c r="D194" s="2" t="inlineStr">
        <is>
          <t xml:space="preserve">npm audit and pip-audit report no known vulnerabilities for runtime, development and desktop requirements (point in time).</t>
        </is>
      </c>
      <c r="E194" s="2" t="inlineStr">
        <is>
          <t xml:space="preserve">High</t>
        </is>
      </c>
      <c r="F194" s="2" t="inlineStr">
        <is>
          <t xml:space="preserve">Not tested</t>
        </is>
      </c>
      <c r="G194" s="2" t="inlineStr">
        <is>
          <t xml:space="preserve">Pending</t>
        </is>
      </c>
      <c r="H194" s="2" t="inlineStr">
        <is>
          <t xml:space="preserve">scripts/run-tests.py</t>
        </is>
      </c>
      <c r="I194" s="2" t="inlineStr">
        <is>
          <t xml:space="preserve"/>
        </is>
      </c>
      <c r="J194" s="2" t="inlineStr">
        <is>
          <t xml:space="preserve"/>
        </is>
      </c>
      <c r="K194" s="2" t="inlineStr">
        <is>
          <t xml:space="preserve">Run on 2026-10-31: npm audit 0 vulnerabilities; pip-audit none. An audit is not proof of security.</t>
        </is>
      </c>
      <c r="L194" s="2" t="inlineStr">
        <is>
          <t xml:space="preserve"/>
        </is>
      </c>
      <c r="M194" s="2" t="inlineStr">
        <is>
          <t xml:space="preserve"/>
        </is>
      </c>
      <c r="N194" s="2" t="inlineStr">
        <is>
          <t xml:space="preserve">Repeat before every release.</t>
        </is>
      </c>
      <c r="O194" s="2" t="inlineStr">
        <is>
          <t xml:space="preserve"/>
        </is>
      </c>
      <c r="P194" s="2" t="inlineStr">
        <is>
          <t xml:space="preserve">docs/development/DEPENDENCY_MAINTENANCE.md; docs/development/TESTING.md</t>
        </is>
      </c>
      <c r="Q194" s="2" t="inlineStr">
        <is>
          <t xml:space="preserve">Implemented</t>
        </is>
      </c>
      <c r="R194" s="2" t="inlineStr">
        <is>
          <t xml:space="preserve">Unclassified</t>
        </is>
      </c>
      <c r="S194" s="2" t="inlineStr">
        <is>
          <t xml:space="preserve">Not started</t>
        </is>
      </c>
    </row>
    <row r="195">
      <c r="A195" s="2" t="inlineStr">
        <is>
          <t xml:space="preserve">SEC-007</t>
        </is>
      </c>
      <c r="B195" s="2" t="inlineStr">
        <is>
          <t xml:space="preserve">Security and Data Integrity</t>
        </is>
      </c>
      <c r="C195" s="2" t="inlineStr">
        <is>
          <t xml:space="preserve">Imports › Snapshot integrity and failed imports</t>
        </is>
      </c>
      <c r="D195" s="2" t="inlineStr">
        <is>
          <t xml:space="preserve">A failed or invalid import never replaces the last valid dataset; snapshots are validated and replaced atomically; inspection never writes.</t>
        </is>
      </c>
      <c r="E195" s="2" t="inlineStr">
        <is>
          <t xml:space="preserve">Critical</t>
        </is>
      </c>
      <c r="F195" s="2" t="inlineStr">
        <is>
          <t xml:space="preserve">Not tested</t>
        </is>
      </c>
      <c r="G195" s="2" t="inlineStr">
        <is>
          <t xml:space="preserve">Pending</t>
        </is>
      </c>
      <c r="H195" s="2" t="inlineStr">
        <is>
          <t xml:space="preserve">backend/tests/test_sod_inspection.py; backend/tests/test_sod_metadata.py; frontend/tests/data-source-browse.spec.ts</t>
        </is>
      </c>
      <c r="I195" s="2" t="inlineStr">
        <is>
          <t xml:space="preserve"/>
        </is>
      </c>
      <c r="J195" s="2" t="inlineStr">
        <is>
          <t xml:space="preserve"/>
        </is>
      </c>
      <c r="K195" s="2" t="inlineStr">
        <is>
          <t xml:space="preserve"/>
        </is>
      </c>
      <c r="L195" s="2" t="inlineStr">
        <is>
          <t xml:space="preserve"/>
        </is>
      </c>
      <c r="M195" s="2" t="inlineStr">
        <is>
          <t xml:space="preserve"/>
        </is>
      </c>
      <c r="N195" s="2" t="inlineStr">
        <is>
          <t xml:space="preserve">Try an invalid replacement file and confirm the previous data stays active.</t>
        </is>
      </c>
      <c r="O195" s="2" t="inlineStr">
        <is>
          <t xml:space="preserve"/>
        </is>
      </c>
      <c r="P195" s="2" t="inlineStr">
        <is>
          <t xml:space="preserve">backend/csv_lifecycle.py; docs/data/IMPORT_AND_REFRESH.md</t>
        </is>
      </c>
      <c r="Q195" s="2" t="inlineStr">
        <is>
          <t xml:space="preserve">Implemented</t>
        </is>
      </c>
      <c r="R195" s="2" t="inlineStr">
        <is>
          <t xml:space="preserve">Unclassified</t>
        </is>
      </c>
      <c r="S195" s="2" t="inlineStr">
        <is>
          <t xml:space="preserve">Not started</t>
        </is>
      </c>
    </row>
    <row r="196">
      <c r="A196" s="2" t="inlineStr">
        <is>
          <t xml:space="preserve">SEC-008</t>
        </is>
      </c>
      <c r="B196" s="2" t="inlineStr">
        <is>
          <t xml:space="preserve">Security and Data Integrity</t>
        </is>
      </c>
      <c r="C196" s="2" t="inlineStr">
        <is>
          <t xml:space="preserve">Deployment › Container, service and file permissions</t>
        </is>
      </c>
      <c r="D196" s="2" t="inlineStr">
        <is>
          <t xml:space="preserve">Docker runs non-root with a read-only root and dropped capabilities; the systemd unit is sandboxed; the Windows Service account and data directory ACLs are restrictive.</t>
        </is>
      </c>
      <c r="E196" s="2" t="inlineStr">
        <is>
          <t xml:space="preserve">High</t>
        </is>
      </c>
      <c r="F196" s="2" t="inlineStr">
        <is>
          <t xml:space="preserve">Not tested</t>
        </is>
      </c>
      <c r="G196" s="2" t="inlineStr">
        <is>
          <t xml:space="preserve">Pending</t>
        </is>
      </c>
      <c r="H196" s="2" t="inlineStr">
        <is>
          <t xml:space="preserve"/>
        </is>
      </c>
      <c r="I196" s="2" t="inlineStr">
        <is>
          <t xml:space="preserve"/>
        </is>
      </c>
      <c r="J196" s="2" t="inlineStr">
        <is>
          <t xml:space="preserve"/>
        </is>
      </c>
      <c r="K196" s="2" t="inlineStr">
        <is>
          <t xml:space="preserve">Static review of Dockerfile, compose.yml and the systemd unit only (R8). Runtime acceptance on systemd, Docker and Windows hosts was not executed.</t>
        </is>
      </c>
      <c r="L196" s="2" t="inlineStr">
        <is>
          <t xml:space="preserve">SEC-07</t>
        </is>
      </c>
      <c r="M196" s="2" t="inlineStr">
        <is>
          <t xml:space="preserve">Further systemd sandboxing (PrivateDevices, ProtectKernelTunables, RestrictAddressFamilies, SystemCallFilter) after testing under systemd.</t>
        </is>
      </c>
      <c r="N196" s="2" t="inlineStr">
        <is>
          <t xml:space="preserve">Run the native deployment acceptance checks on each target platform.</t>
        </is>
      </c>
      <c r="O196" s="2" t="inlineStr">
        <is>
          <t xml:space="preserve">Not executable on the Linux CI host.</t>
        </is>
      </c>
      <c r="P196" s="2" t="inlineStr">
        <is>
          <t xml:space="preserve">Dockerfile; compose.yml; deploy/linux/sap-lens.service</t>
        </is>
      </c>
      <c r="Q196" s="2" t="inlineStr">
        <is>
          <t xml:space="preserve">Not assessed</t>
        </is>
      </c>
      <c r="R196" s="2" t="inlineStr">
        <is>
          <t xml:space="preserve">Unclassified</t>
        </is>
      </c>
      <c r="S196" s="2" t="inlineStr">
        <is>
          <t xml:space="preserve">Not started</t>
        </is>
      </c>
    </row>
  </sheetData>
  <conditionalFormatting sqref="F2:F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E2:E2000">
    <cfRule type="cellIs" dxfId="1" priority="6" operator="equal">
      <formula>"Critical"</formula>
    </cfRule>
    <cfRule type="cellIs" dxfId="2" priority="7" operator="equal">
      <formula>"High"</formula>
    </cfRule>
    <cfRule type="cellIs" dxfId="3" priority="8" operator="equal">
      <formula>"Medium"</formula>
    </cfRule>
  </conditionalFormatting>
  <conditionalFormatting sqref="G2:G2000">
    <cfRule type="cellIs" dxfId="0" priority="9" operator="equal">
      <formula>"Approved"</formula>
    </cfRule>
    <cfRule type="cellIs" dxfId="1" priority="10" operator="equal">
      <formula>"Rejected"</formula>
    </cfRule>
  </conditionalFormatting>
  <dataValidations count="6">
    <dataValidation type="list" allowBlank="1" showErrorMessage="1" sqref="E2:E2000">
      <formula1>"Not set,Critical,High,Medium,Low"</formula1>
    </dataValidation>
    <dataValidation type="list" allowBlank="1" showErrorMessage="1" sqref="F2:F2000">
      <formula1>"Not tested,Passed,Failed,Needs improvement,Blocked,Not applicable"</formula1>
    </dataValidation>
    <dataValidation type="list" allowBlank="1" showErrorMessage="1" sqref="G2:G2000">
      <formula1>"Pending,Approved,Rejected,Not applicable"</formula1>
    </dataValidation>
    <dataValidation type="list" allowBlank="1" showErrorMessage="1" sqref="Q2:Q2000">
      <formula1>"Not assessed,Not implemented,Partially implemented,Implemented"</formula1>
    </dataValidation>
    <dataValidation type="list" allowBlank="1" showErrorMessage="1" sqref="R2:R2000">
      <formula1>"Unclassified,Current defect,Improvement opportunity,Not an issue"</formula1>
    </dataValidation>
    <dataValidation type="list" allowBlank="1" showErrorMessage="1" sqref="S2:S2000">
      <formula1>"Not started,Pending retest,Retest passed,Retest failed"</formula1>
    </dataValidation>
  </dataValidation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24" customWidth="1"/>
    <col min="7" max="7" width="60" customWidth="1"/>
    <col min="8" max="8" width="40"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Linked issue or finding</t>
        </is>
      </c>
      <c r="G1" s="1" t="inlineStr">
        <is>
          <t xml:space="preserve">Notes</t>
        </is>
      </c>
      <c r="H1" s="1" t="inlineStr">
        <is>
          <t xml:space="preserve">Known limitations</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DEP-005</t>
        </is>
      </c>
      <c r="B5" s="2" t="inlineStr">
        <is>
          <t xml:space="preserve">Desktop and Startup</t>
        </is>
      </c>
      <c r="C5" s="2" t="inlineStr">
        <is>
          <t xml:space="preserve">Windows › Desktop lifecycle (WebView2)</t>
        </is>
      </c>
      <c r="D5" s="2" t="inlineStr">
        <is>
          <t xml:space="preserve">Not set</t>
        </is>
      </c>
      <c r="E5" s="2" t="inlineStr">
        <is>
          <t xml:space="preserve">Blocked</t>
        </is>
      </c>
      <c r="F5" s="2" t="inlineStr">
        <is>
          <t xml:space="preserve"/>
        </is>
      </c>
      <c r="G5" s="2" t="inlineStr">
        <is>
          <t xml:space="preserve">Not verified in Linux CI: needs a Windows host (see docs/development/TESTING.md, platform limits).</t>
        </is>
      </c>
      <c r="H5" s="2" t="inlineStr">
        <is>
          <t xml:space="preserve"/>
        </is>
      </c>
    </row>
    <row r="6">
      <c r="A6" s="2" t="inlineStr">
        <is>
          <t xml:space="preserve">DEP-007</t>
        </is>
      </c>
      <c r="B6" s="2" t="inlineStr">
        <is>
          <t xml:space="preserve">Desktop and Startup</t>
        </is>
      </c>
      <c r="C6" s="2" t="inlineStr">
        <is>
          <t xml:space="preserve">Windows › Installer</t>
        </is>
      </c>
      <c r="D6" s="2" t="inlineStr">
        <is>
          <t xml:space="preserve">Not set</t>
        </is>
      </c>
      <c r="E6" s="2" t="inlineStr">
        <is>
          <t xml:space="preserve">Blocked</t>
        </is>
      </c>
      <c r="F6" s="2" t="inlineStr">
        <is>
          <t xml:space="preserve"/>
        </is>
      </c>
      <c r="G6" s="2" t="inlineStr">
        <is>
          <t xml:space="preserve">Not verified in Linux CI: needs a Windows host (see docs/development/TESTING.md, platform limits).</t>
        </is>
      </c>
      <c r="H6" s="2" t="inlineStr">
        <is>
          <t xml:space="preserve"/>
        </is>
      </c>
    </row>
    <row r="7">
      <c r="A7" s="2" t="inlineStr">
        <is>
          <t xml:space="preserve">DEP-006</t>
        </is>
      </c>
      <c r="B7" s="2" t="inlineStr">
        <is>
          <t xml:space="preserve">Server and Deployment</t>
        </is>
      </c>
      <c r="C7" s="2" t="inlineStr">
        <is>
          <t xml:space="preserve">Windows › Windows Service</t>
        </is>
      </c>
      <c r="D7" s="2" t="inlineStr">
        <is>
          <t xml:space="preserve">Not set</t>
        </is>
      </c>
      <c r="E7" s="2" t="inlineStr">
        <is>
          <t xml:space="preserve">Blocked</t>
        </is>
      </c>
      <c r="F7" s="2" t="inlineStr">
        <is>
          <t xml:space="preserve"/>
        </is>
      </c>
      <c r="G7" s="2" t="inlineStr">
        <is>
          <t xml:space="preserve">Not verified in Linux CI: needs a Windows host (see docs/development/TESTING.md, platform limits).</t>
        </is>
      </c>
      <c r="H7" s="2" t="inlineStr">
        <is>
          <t xml:space="preserve"/>
        </is>
      </c>
    </row>
    <row r="8">
      <c r="A8" s="2" t="inlineStr">
        <is>
          <t xml:space="preserve">DEP-002</t>
        </is>
      </c>
      <c r="B8" s="2" t="inlineStr">
        <is>
          <t xml:space="preserve">Security and Data Integrity</t>
        </is>
      </c>
      <c r="C8" s="2" t="inlineStr">
        <is>
          <t xml:space="preserve">Runtime › Server mode authentication</t>
        </is>
      </c>
      <c r="D8" s="2" t="inlineStr">
        <is>
          <t xml:space="preserve">Not set</t>
        </is>
      </c>
      <c r="E8" s="2" t="inlineStr">
        <is>
          <t xml:space="preserve">Not tested</t>
        </is>
      </c>
      <c r="F8" s="2" t="inlineStr">
        <is>
          <t xml:space="preserve">SEC-02; SEC-03</t>
        </is>
      </c>
      <c r="G8" s="2" t="inlineStr">
        <is>
          <t xml:space="preserve"/>
        </is>
      </c>
      <c r="H8" s="2" t="inlineStr">
        <is>
          <t xml:space="preserve"/>
        </is>
      </c>
    </row>
    <row r="9">
      <c r="A9" s="2" t="inlineStr">
        <is>
          <t xml:space="preserve">SEC-001</t>
        </is>
      </c>
      <c r="B9" s="2" t="inlineStr">
        <is>
          <t xml:space="preserve">Security and Data Integrity</t>
        </is>
      </c>
      <c r="C9" s="2" t="inlineStr">
        <is>
          <t xml:space="preserve">API › Authentication boundary</t>
        </is>
      </c>
      <c r="D9" s="2" t="inlineStr">
        <is>
          <t xml:space="preserve">High</t>
        </is>
      </c>
      <c r="E9" s="2" t="inlineStr">
        <is>
          <t xml:space="preserve">Not tested</t>
        </is>
      </c>
      <c r="F9" s="2" t="inlineStr">
        <is>
          <t xml:space="preserve">Controls verified (SECURITY_REVIEW_R8)</t>
        </is>
      </c>
      <c r="G9" s="2" t="inlineStr">
        <is>
          <t xml:space="preserve">122 operations probed in the R8 security review.</t>
        </is>
      </c>
      <c r="H9" s="2" t="inlineStr">
        <is>
          <t xml:space="preserve"/>
        </is>
      </c>
    </row>
    <row r="10">
      <c r="A10" s="2" t="inlineStr">
        <is>
          <t xml:space="preserve">SEC-002</t>
        </is>
      </c>
      <c r="B10" s="2" t="inlineStr">
        <is>
          <t xml:space="preserve">Security and Data Integrity</t>
        </is>
      </c>
      <c r="C10" s="2" t="inlineStr">
        <is>
          <t xml:space="preserve">Exports › Spreadsheet formula neutralisation</t>
        </is>
      </c>
      <c r="D10" s="2" t="inlineStr">
        <is>
          <t xml:space="preserve">Medium</t>
        </is>
      </c>
      <c r="E10" s="2" t="inlineStr">
        <is>
          <t xml:space="preserve">Not tested</t>
        </is>
      </c>
      <c r="F10" s="2" t="inlineStr">
        <is>
          <t xml:space="preserve">SEC-01 (resolved in R8)</t>
        </is>
      </c>
      <c r="G10" s="2" t="inlineStr">
        <is>
          <t xml:space="preserve"/>
        </is>
      </c>
      <c r="H10" s="2" t="inlineStr">
        <is>
          <t xml:space="preserve"/>
        </is>
      </c>
    </row>
    <row r="11">
      <c r="A11" s="2" t="inlineStr">
        <is>
          <t xml:space="preserve">SEC-003</t>
        </is>
      </c>
      <c r="B11" s="2" t="inlineStr">
        <is>
          <t xml:space="preserve">Security and Data Integrity</t>
        </is>
      </c>
      <c r="C11" s="2" t="inlineStr">
        <is>
          <t xml:space="preserve">Server › Access secret and brute-force protection</t>
        </is>
      </c>
      <c r="D11" s="2" t="inlineStr">
        <is>
          <t xml:space="preserve">Medium</t>
        </is>
      </c>
      <c r="E11" s="2" t="inlineStr">
        <is>
          <t xml:space="preserve">Not tested</t>
        </is>
      </c>
      <c r="F11" s="2" t="inlineStr">
        <is>
          <t xml:space="preserve">SEC-02; SEC-03</t>
        </is>
      </c>
      <c r="G11" s="2" t="inlineStr">
        <is>
          <t xml:space="preserve">No throttling of failed Basic logins; group-readable secret files are accepted (documented limitations).</t>
        </is>
      </c>
      <c r="H11" s="2" t="inlineStr">
        <is>
          <t xml:space="preserve">Throttling and group permissions are open decisions (SECURITY_REVIEW_R8).</t>
        </is>
      </c>
    </row>
    <row r="12">
      <c r="A12" s="2" t="inlineStr">
        <is>
          <t xml:space="preserve">SEC-004</t>
        </is>
      </c>
      <c r="B12" s="2" t="inlineStr">
        <is>
          <t xml:space="preserve">Security and Data Integrity</t>
        </is>
      </c>
      <c r="C12" s="2" t="inlineStr">
        <is>
          <t xml:space="preserve">Server › Source path confinement and uploads</t>
        </is>
      </c>
      <c r="D12" s="2" t="inlineStr">
        <is>
          <t xml:space="preserve">High</t>
        </is>
      </c>
      <c r="E12" s="2" t="inlineStr">
        <is>
          <t xml:space="preserve">Not tested</t>
        </is>
      </c>
      <c r="F12" s="2" t="inlineStr">
        <is>
          <t xml:space="preserve">Controls verified (SECURITY_REVIEW_R8)</t>
        </is>
      </c>
      <c r="G12" s="2" t="inlineStr">
        <is>
          <t xml:space="preserve"/>
        </is>
      </c>
      <c r="H12" s="2" t="inlineStr">
        <is>
          <t xml:space="preserve"/>
        </is>
      </c>
    </row>
    <row r="13">
      <c r="A13" s="2" t="inlineStr">
        <is>
          <t xml:space="preserve">SEC-005</t>
        </is>
      </c>
      <c r="B13" s="2" t="inlineStr">
        <is>
          <t xml:space="preserve">Security and Data Integrity</t>
        </is>
      </c>
      <c r="C13" s="2" t="inlineStr">
        <is>
          <t xml:space="preserve">API › Response headers and content security policy</t>
        </is>
      </c>
      <c r="D13" s="2" t="inlineStr">
        <is>
          <t xml:space="preserve">Low</t>
        </is>
      </c>
      <c r="E13" s="2" t="inlineStr">
        <is>
          <t xml:space="preserve">Not tested</t>
        </is>
      </c>
      <c r="F13" s="2" t="inlineStr">
        <is>
          <t xml:space="preserve">SEC-04</t>
        </is>
      </c>
      <c r="G13" s="2" t="inlineStr">
        <is>
          <t xml:space="preserve"/>
        </is>
      </c>
      <c r="H13" s="2" t="inlineStr">
        <is>
          <t xml:space="preserve"/>
        </is>
      </c>
    </row>
    <row r="14">
      <c r="A14" s="2" t="inlineStr">
        <is>
          <t xml:space="preserve">SEC-008</t>
        </is>
      </c>
      <c r="B14" s="2" t="inlineStr">
        <is>
          <t xml:space="preserve">Security and Data Integrity</t>
        </is>
      </c>
      <c r="C14" s="2" t="inlineStr">
        <is>
          <t xml:space="preserve">Deployment › Container, service and file permissions</t>
        </is>
      </c>
      <c r="D14" s="2" t="inlineStr">
        <is>
          <t xml:space="preserve">High</t>
        </is>
      </c>
      <c r="E14" s="2" t="inlineStr">
        <is>
          <t xml:space="preserve">Not tested</t>
        </is>
      </c>
      <c r="F14" s="2" t="inlineStr">
        <is>
          <t xml:space="preserve">SEC-07</t>
        </is>
      </c>
      <c r="G14" s="2" t="inlineStr">
        <is>
          <t xml:space="preserve">Static review of Dockerfile, compose.yml and the systemd unit only (R8). Runtime acceptance on systemd, Docker and Windows hosts was not executed.</t>
        </is>
      </c>
      <c r="H14" s="2" t="inlineStr">
        <is>
          <t xml:space="preserve">Not executable on the Linux CI host.</t>
        </is>
      </c>
    </row>
  </sheetData>
  <autoFilter ref="A1:H14"/>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

<file path=xl/worksheets/sheet4.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60" customWidth="1"/>
    <col min="7" max="7" width="50" customWidth="1"/>
    <col min="8" max="8" width="24"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Potential future improvement</t>
        </is>
      </c>
      <c r="G1" s="1" t="inlineStr">
        <is>
          <t xml:space="preserve">Notes</t>
        </is>
      </c>
      <c r="H1" s="1" t="inlineStr">
        <is>
          <t xml:space="preserve">Linked issue or finding</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DEP-002</t>
        </is>
      </c>
      <c r="B5" s="2" t="inlineStr">
        <is>
          <t xml:space="preserve">Security and Data Integrity</t>
        </is>
      </c>
      <c r="C5" s="2" t="inlineStr">
        <is>
          <t xml:space="preserve">Runtime › Server mode authentication</t>
        </is>
      </c>
      <c r="D5" s="2" t="inlineStr">
        <is>
          <t xml:space="preserve">Not set</t>
        </is>
      </c>
      <c r="E5" s="2" t="inlineStr">
        <is>
          <t xml:space="preserve">Not tested</t>
        </is>
      </c>
      <c r="F5" s="2" t="inlineStr">
        <is>
          <t xml:space="preserve">Throttle failed Basic logins and tighten secret-file permissions after a compatibility review (see SEC-003).</t>
        </is>
      </c>
      <c r="G5" s="2" t="inlineStr">
        <is>
          <t xml:space="preserve"/>
        </is>
      </c>
      <c r="H5" s="2" t="inlineStr">
        <is>
          <t xml:space="preserve">SEC-02; SEC-03</t>
        </is>
      </c>
    </row>
    <row r="6">
      <c r="A6" s="2" t="inlineStr">
        <is>
          <t xml:space="preserve">SEC-003</t>
        </is>
      </c>
      <c r="B6" s="2" t="inlineStr">
        <is>
          <t xml:space="preserve">Security and Data Integrity</t>
        </is>
      </c>
      <c r="C6" s="2" t="inlineStr">
        <is>
          <t xml:space="preserve">Server › Access secret and brute-force protection</t>
        </is>
      </c>
      <c r="D6" s="2" t="inlineStr">
        <is>
          <t xml:space="preserve">Medium</t>
        </is>
      </c>
      <c r="E6" s="2" t="inlineStr">
        <is>
          <t xml:space="preserve">Not tested</t>
        </is>
      </c>
      <c r="F6" s="2" t="inlineStr">
        <is>
          <t xml:space="preserve">Throttle failed logins at the gateway or in the application, and reject group-readable secret files after a compatibility review of systemd and container secret mounts.</t>
        </is>
      </c>
      <c r="G6" s="2" t="inlineStr">
        <is>
          <t xml:space="preserve">No throttling of failed Basic logins; group-readable secret files are accepted (documented limitations).</t>
        </is>
      </c>
      <c r="H6" s="2" t="inlineStr">
        <is>
          <t xml:space="preserve">SEC-02; SEC-03</t>
        </is>
      </c>
    </row>
    <row r="7">
      <c r="A7" s="2" t="inlineStr">
        <is>
          <t xml:space="preserve">SEC-005</t>
        </is>
      </c>
      <c r="B7" s="2" t="inlineStr">
        <is>
          <t xml:space="preserve">Security and Data Integrity</t>
        </is>
      </c>
      <c r="C7" s="2" t="inlineStr">
        <is>
          <t xml:space="preserve">API › Response headers and content security policy</t>
        </is>
      </c>
      <c r="D7" s="2" t="inlineStr">
        <is>
          <t xml:space="preserve">Low</t>
        </is>
      </c>
      <c r="E7" s="2" t="inlineStr">
        <is>
          <t xml:space="preserve">Not tested</t>
        </is>
      </c>
      <c r="F7" s="2" t="inlineStr">
        <is>
          <t xml:space="preserve">Add a Permissions-Policy header and document HSTS at the TLS-terminating proxy.</t>
        </is>
      </c>
      <c r="G7" s="2" t="inlineStr">
        <is>
          <t xml:space="preserve"/>
        </is>
      </c>
      <c r="H7" s="2" t="inlineStr">
        <is>
          <t xml:space="preserve">SEC-04</t>
        </is>
      </c>
    </row>
    <row r="8">
      <c r="A8" s="2" t="inlineStr">
        <is>
          <t xml:space="preserve">SEC-008</t>
        </is>
      </c>
      <c r="B8" s="2" t="inlineStr">
        <is>
          <t xml:space="preserve">Security and Data Integrity</t>
        </is>
      </c>
      <c r="C8" s="2" t="inlineStr">
        <is>
          <t xml:space="preserve">Deployment › Container, service and file permissions</t>
        </is>
      </c>
      <c r="D8" s="2" t="inlineStr">
        <is>
          <t xml:space="preserve">High</t>
        </is>
      </c>
      <c r="E8" s="2" t="inlineStr">
        <is>
          <t xml:space="preserve">Not tested</t>
        </is>
      </c>
      <c r="F8" s="2" t="inlineStr">
        <is>
          <t xml:space="preserve">Further systemd sandboxing (PrivateDevices, ProtectKernelTunables, RestrictAddressFamilies, SystemCallFilter) after testing under systemd.</t>
        </is>
      </c>
      <c r="G8" s="2" t="inlineStr">
        <is>
          <t xml:space="preserve">Static review of Dockerfile, compose.yml and the systemd unit only (R8). Runtime acceptance on systemd, Docker and Windows hosts was not executed.</t>
        </is>
      </c>
      <c r="H8" s="2" t="inlineStr">
        <is>
          <t xml:space="preserve">SEC-07</t>
        </is>
      </c>
    </row>
  </sheetData>
  <autoFilter ref="A1:H8"/>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