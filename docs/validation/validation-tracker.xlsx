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Items" sheetId="2" r:id="rId2"/>
    <sheet name="Defects and Findings" sheetId="3" r:id="rId3"/>
    <sheet name="Future Improvements" sheetId="4" r:id="rId4"/>
  </sheets>
  <calcPr fullCalcOnLoad="1"/>
</workbook>
</file>

<file path=xl/styles.xml><?xml version="1.0" encoding="utf-8"?>
<styleSheet xmlns="http://schemas.openxmlformats.org/spreadsheetml/2006/main">
  <numFmts count="1">
    <numFmt numFmtId="164" formatCode="0.0%"/>
  </numFmts>
  <fonts count="4">
    <font>
      <sz val="11"/>
      <name val="Calibri"/>
    </font>
    <font>
      <b/>
      <sz val="11"/>
      <name val="Calibri"/>
    </font>
    <font>
      <b/>
      <sz val="14"/>
      <name val="Calibri"/>
    </font>
    <font>
      <i/>
      <sz val="10"/>
      <color rgb="FF595959"/>
      <name val="Calibri"/>
    </font>
  </fonts>
  <fills count="3">
    <fill>
      <patternFill patternType="none"/>
    </fill>
    <fill>
      <patternFill patternType="gray125"/>
    </fill>
    <fill>
      <patternFill patternType="solid">
        <fgColor rgb="FFDCE3F5"/>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0" fillId="0" borderId="0" xfId="0" applyAlignment="1">
      <alignment vertical="top" wrapText="1"/>
    </xf>
    <xf numFmtId="0" fontId="2" fillId="0" borderId="0" xfId="0" applyFont="1"/>
    <xf numFmtId="164" fontId="0" fillId="0" borderId="0" xfId="0" applyNumberFormat="1"/>
    <xf numFmtId="0" fontId="1" fillId="0" borderId="0" xfId="0" applyFont="1"/>
    <xf numFmtId="0" fontId="3" fillId="0" borderId="0" xfId="0" applyFont="1"/>
  </cellXfs>
  <cellStyles count="1">
    <cellStyle name="Normal" xfId="0" builtinId="0"/>
  </cellStyles>
  <dxfs count="5">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7F3F00"/>
      </font>
      <fill>
        <patternFill>
          <bgColor rgb="FFF8CBAD"/>
        </patternFill>
      </fill>
    </dxf>
    <dxf>
      <font>
        <color rgb="FF595959"/>
      </font>
      <fill>
        <patternFill>
          <bgColor rgb="FFEDEDED"/>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tables/table1.xml><?xml version="1.0" encoding="utf-8"?>
<table xmlns="http://schemas.openxmlformats.org/spreadsheetml/2006/main" id="1" name="ValidationItems" displayName="ValidationItems" ref="A1:S225" totalsRowShown="0">
  <autoFilter ref="A1:S225"/>
  <tableColumns count="19">
    <tableColumn id="1" name="ID"/>
    <tableColumn id="2" name="Area"/>
    <tableColumn id="3" name="Page/component"/>
    <tableColumn id="4" name="Validation criterion"/>
    <tableColumn id="5" name="Priority"/>
    <tableColumn id="6" name="Status"/>
    <tableColumn id="7" name="Manual approval"/>
    <tableColumn id="8" name="Automated test evidence"/>
    <tableColumn id="9" name="Last validated date"/>
    <tableColumn id="10" name="Build/commit"/>
    <tableColumn id="11" name="Notes"/>
    <tableColumn id="12" name="Linked issue or finding"/>
    <tableColumn id="13" name="Potential future improvement"/>
    <tableColumn id="14" name="Manual validation steps"/>
    <tableColumn id="15" name="Known limitations"/>
    <tableColumn id="16" name="Implementation reference"/>
    <tableColumn id="17" name="Implementation status"/>
    <tableColumn id="18" name="Classification"/>
    <tableColumn id="19" name="Retest status"/>
  </tableColumns>
  <tableStyleInfo name="TableStyleLight1" showFirstColumn="0" showLastColumn="0" showRowStripes="1" showColumnStripes="0"/>
</table>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sheetViews>
    <sheetView workbookViewId="0" showGridLines="0"/>
  </sheetViews>
  <cols>
    <col min="1" max="1" width="38" customWidth="1"/>
    <col min="2" max="2" width="10" customWidth="1"/>
    <col min="3" max="3" width="12" customWidth="1"/>
    <col min="4" max="4" width="10" customWidth="1"/>
    <col min="5" max="5" width="10" customWidth="1"/>
    <col min="6" max="6" width="18" customWidth="1"/>
    <col min="7" max="7" width="10" customWidth="1"/>
    <col min="8" max="8" width="14" customWidth="1"/>
    <col min="9" max="9" width="14" customWidth="1"/>
    <col min="10" max="10" width="14" customWidth="1"/>
    <col min="11" max="11" width="12" customWidth="1"/>
    <col min="12" max="12" width="12" customWidth="1"/>
  </cols>
  <sheetData>
    <row r="1">
      <c r="A1" s="3" t="inlineStr">
        <is>
          <t xml:space="preserve">SAP Lens validation checklist</t>
        </is>
      </c>
    </row>
    <row r="2">
      <c r="A2" s="6" t="inlineStr">
        <is>
          <t xml:space="preserve">Generated from docs/validation/validation-items.csv. Status and Manual approval are recorded by people; automated test evidence is listed separately on the Items sheet. Nothing is approved automatically.</t>
        </is>
      </c>
    </row>
    <row r="3">
      <c r="A3" s="6" t="inlineStr">
        <is>
          <t xml:space="preserve">Completion = Passed, Failed and Needs improvement over applicable items. Approved = manually approved over applicable items. Defects and Future Improvements are snapshots taken when the workbook was generated.</t>
        </is>
      </c>
    </row>
    <row r="5">
      <c r="A5" s="1" t="inlineStr">
        <is>
          <t xml:space="preserve">Area</t>
        </is>
      </c>
      <c r="B5" s="1" t="inlineStr">
        <is>
          <t xml:space="preserve">Items</t>
        </is>
      </c>
      <c r="C5" s="1" t="inlineStr">
        <is>
          <t xml:space="preserve">Not tested</t>
        </is>
      </c>
      <c r="D5" s="1" t="inlineStr">
        <is>
          <t xml:space="preserve">Passed</t>
        </is>
      </c>
      <c r="E5" s="1" t="inlineStr">
        <is>
          <t xml:space="preserve">Failed</t>
        </is>
      </c>
      <c r="F5" s="1" t="inlineStr">
        <is>
          <t xml:space="preserve">Needs improvement</t>
        </is>
      </c>
      <c r="G5" s="1" t="inlineStr">
        <is>
          <t xml:space="preserve">Blocked</t>
        </is>
      </c>
      <c r="H5" s="1" t="inlineStr">
        <is>
          <t xml:space="preserve">Not applicable</t>
        </is>
      </c>
      <c r="I5" s="1" t="inlineStr">
        <is>
          <t xml:space="preserve">Manual approved</t>
        </is>
      </c>
      <c r="J5" s="1" t="inlineStr">
        <is>
          <t xml:space="preserve">Manual pending</t>
        </is>
      </c>
      <c r="K5" s="1" t="inlineStr">
        <is>
          <t xml:space="preserve">Completion</t>
        </is>
      </c>
      <c r="L5" s="1" t="inlineStr">
        <is>
          <t xml:space="preserve">Approved</t>
        </is>
      </c>
    </row>
    <row r="6">
      <c r="A6" s="0" t="inlineStr">
        <is>
          <t xml:space="preserve">Dashboard</t>
        </is>
      </c>
      <c r="B6" s="0">
        <f>COUNTIFS(Items!$B$2:$B$225,$A6)</f>
        <v>9</v>
      </c>
      <c r="C6" s="0">
        <f>COUNTIFS(Items!$B$2:$B$225,$A6,Items!$F$2:$F$225,C$5)</f>
        <v>9</v>
      </c>
      <c r="D6" s="0">
        <f>COUNTIFS(Items!$B$2:$B$225,$A6,Items!$F$2:$F$225,D$5)</f>
        <v>0</v>
      </c>
      <c r="E6" s="0">
        <f>COUNTIFS(Items!$B$2:$B$225,$A6,Items!$F$2:$F$225,E$5)</f>
        <v>0</v>
      </c>
      <c r="F6" s="0">
        <f>COUNTIFS(Items!$B$2:$B$225,$A6,Items!$F$2:$F$225,F$5)</f>
        <v>0</v>
      </c>
      <c r="G6" s="0">
        <f>COUNTIFS(Items!$B$2:$B$225,$A6,Items!$F$2:$F$225,G$5)</f>
        <v>0</v>
      </c>
      <c r="H6" s="0">
        <f>COUNTIFS(Items!$B$2:$B$225,$A6,Items!$F$2:$F$225,H$5)</f>
        <v>0</v>
      </c>
      <c r="I6" s="0">
        <f>COUNTIFS(Items!$B$2:$B$225,$A6,Items!$G$2:$G$225,"Approved")</f>
        <v>0</v>
      </c>
      <c r="J6" s="0">
        <f>COUNTIFS(Items!$B$2:$B$225,$A6,Items!$G$2:$G$225,"Pending")</f>
        <v>9</v>
      </c>
      <c r="K6" s="4">
        <f>IF(B6-G6=0,0,(D6+E6+F6)/(B6-G6))</f>
        <v>0.0</v>
      </c>
      <c r="L6" s="4">
        <f>IF(B6-G6=0,0,H6/(B6-G6))</f>
        <v>0.0</v>
      </c>
    </row>
    <row r="7">
      <c r="A7" s="0" t="inlineStr">
        <is>
          <t xml:space="preserve">Role Lookup</t>
        </is>
      </c>
      <c r="B7" s="0">
        <f>COUNTIFS(Items!$B$2:$B$225,$A7)</f>
        <v>10</v>
      </c>
      <c r="C7" s="0">
        <f>COUNTIFS(Items!$B$2:$B$225,$A7,Items!$F$2:$F$225,C$5)</f>
        <v>10</v>
      </c>
      <c r="D7" s="0">
        <f>COUNTIFS(Items!$B$2:$B$225,$A7,Items!$F$2:$F$225,D$5)</f>
        <v>0</v>
      </c>
      <c r="E7" s="0">
        <f>COUNTIFS(Items!$B$2:$B$225,$A7,Items!$F$2:$F$225,E$5)</f>
        <v>0</v>
      </c>
      <c r="F7" s="0">
        <f>COUNTIFS(Items!$B$2:$B$225,$A7,Items!$F$2:$F$225,F$5)</f>
        <v>0</v>
      </c>
      <c r="G7" s="0">
        <f>COUNTIFS(Items!$B$2:$B$225,$A7,Items!$F$2:$F$225,G$5)</f>
        <v>0</v>
      </c>
      <c r="H7" s="0">
        <f>COUNTIFS(Items!$B$2:$B$225,$A7,Items!$F$2:$F$225,H$5)</f>
        <v>0</v>
      </c>
      <c r="I7" s="0">
        <f>COUNTIFS(Items!$B$2:$B$225,$A7,Items!$G$2:$G$225,"Approved")</f>
        <v>0</v>
      </c>
      <c r="J7" s="0">
        <f>COUNTIFS(Items!$B$2:$B$225,$A7,Items!$G$2:$G$225,"Pending")</f>
        <v>10</v>
      </c>
      <c r="K7" s="4">
        <f>IF(B7-G7=0,0,(D7+E7+F7)/(B7-G7))</f>
        <v>0.0</v>
      </c>
      <c r="L7" s="4">
        <f>IF(B7-G7=0,0,H7/(B7-G7))</f>
        <v>0.0</v>
      </c>
    </row>
    <row r="8">
      <c r="A8" s="0" t="inlineStr">
        <is>
          <t xml:space="preserve">Access Package</t>
        </is>
      </c>
      <c r="B8" s="0">
        <f>COUNTIFS(Items!$B$2:$B$225,$A8)</f>
        <v>9</v>
      </c>
      <c r="C8" s="0">
        <f>COUNTIFS(Items!$B$2:$B$225,$A8,Items!$F$2:$F$225,C$5)</f>
        <v>8</v>
      </c>
      <c r="D8" s="0">
        <f>COUNTIFS(Items!$B$2:$B$225,$A8,Items!$F$2:$F$225,D$5)</f>
        <v>0</v>
      </c>
      <c r="E8" s="0">
        <f>COUNTIFS(Items!$B$2:$B$225,$A8,Items!$F$2:$F$225,E$5)</f>
        <v>0</v>
      </c>
      <c r="F8" s="0">
        <f>COUNTIFS(Items!$B$2:$B$225,$A8,Items!$F$2:$F$225,F$5)</f>
        <v>1</v>
      </c>
      <c r="G8" s="0">
        <f>COUNTIFS(Items!$B$2:$B$225,$A8,Items!$F$2:$F$225,G$5)</f>
        <v>0</v>
      </c>
      <c r="H8" s="0">
        <f>COUNTIFS(Items!$B$2:$B$225,$A8,Items!$F$2:$F$225,H$5)</f>
        <v>0</v>
      </c>
      <c r="I8" s="0">
        <f>COUNTIFS(Items!$B$2:$B$225,$A8,Items!$G$2:$G$225,"Approved")</f>
        <v>0</v>
      </c>
      <c r="J8" s="0">
        <f>COUNTIFS(Items!$B$2:$B$225,$A8,Items!$G$2:$G$225,"Pending")</f>
        <v>9</v>
      </c>
      <c r="K8" s="4">
        <f>IF(B8-G8=0,0,(D8+E8+F8)/(B8-G8))</f>
        <v>0.111111</v>
      </c>
      <c r="L8" s="4">
        <f>IF(B8-G8=0,0,H8/(B8-G8))</f>
        <v>0.0</v>
      </c>
    </row>
    <row r="9">
      <c r="A9" s="0" t="inlineStr">
        <is>
          <t xml:space="preserve">User Directory</t>
        </is>
      </c>
      <c r="B9" s="0">
        <f>COUNTIFS(Items!$B$2:$B$225,$A9)</f>
        <v>9</v>
      </c>
      <c r="C9" s="0">
        <f>COUNTIFS(Items!$B$2:$B$225,$A9,Items!$F$2:$F$225,C$5)</f>
        <v>9</v>
      </c>
      <c r="D9" s="0">
        <f>COUNTIFS(Items!$B$2:$B$225,$A9,Items!$F$2:$F$225,D$5)</f>
        <v>0</v>
      </c>
      <c r="E9" s="0">
        <f>COUNTIFS(Items!$B$2:$B$225,$A9,Items!$F$2:$F$225,E$5)</f>
        <v>0</v>
      </c>
      <c r="F9" s="0">
        <f>COUNTIFS(Items!$B$2:$B$225,$A9,Items!$F$2:$F$225,F$5)</f>
        <v>0</v>
      </c>
      <c r="G9" s="0">
        <f>COUNTIFS(Items!$B$2:$B$225,$A9,Items!$F$2:$F$225,G$5)</f>
        <v>0</v>
      </c>
      <c r="H9" s="0">
        <f>COUNTIFS(Items!$B$2:$B$225,$A9,Items!$F$2:$F$225,H$5)</f>
        <v>0</v>
      </c>
      <c r="I9" s="0">
        <f>COUNTIFS(Items!$B$2:$B$225,$A9,Items!$G$2:$G$225,"Approved")</f>
        <v>0</v>
      </c>
      <c r="J9" s="0">
        <f>COUNTIFS(Items!$B$2:$B$225,$A9,Items!$G$2:$G$225,"Pending")</f>
        <v>9</v>
      </c>
      <c r="K9" s="4">
        <f>IF(B9-G9=0,0,(D9+E9+F9)/(B9-G9))</f>
        <v>0.0</v>
      </c>
      <c r="L9" s="4">
        <f>IF(B9-G9=0,0,H9/(B9-G9))</f>
        <v>0.0</v>
      </c>
    </row>
    <row r="10">
      <c r="A10" s="0" t="inlineStr">
        <is>
          <t xml:space="preserve">Account Review</t>
        </is>
      </c>
      <c r="B10" s="0">
        <f>COUNTIFS(Items!$B$2:$B$225,$A10)</f>
        <v>9</v>
      </c>
      <c r="C10" s="0">
        <f>COUNTIFS(Items!$B$2:$B$225,$A10,Items!$F$2:$F$225,C$5)</f>
        <v>9</v>
      </c>
      <c r="D10" s="0">
        <f>COUNTIFS(Items!$B$2:$B$225,$A10,Items!$F$2:$F$225,D$5)</f>
        <v>0</v>
      </c>
      <c r="E10" s="0">
        <f>COUNTIFS(Items!$B$2:$B$225,$A10,Items!$F$2:$F$225,E$5)</f>
        <v>0</v>
      </c>
      <c r="F10" s="0">
        <f>COUNTIFS(Items!$B$2:$B$225,$A10,Items!$F$2:$F$225,F$5)</f>
        <v>0</v>
      </c>
      <c r="G10" s="0">
        <f>COUNTIFS(Items!$B$2:$B$225,$A10,Items!$F$2:$F$225,G$5)</f>
        <v>0</v>
      </c>
      <c r="H10" s="0">
        <f>COUNTIFS(Items!$B$2:$B$225,$A10,Items!$F$2:$F$225,H$5)</f>
        <v>0</v>
      </c>
      <c r="I10" s="0">
        <f>COUNTIFS(Items!$B$2:$B$225,$A10,Items!$G$2:$G$225,"Approved")</f>
        <v>0</v>
      </c>
      <c r="J10" s="0">
        <f>COUNTIFS(Items!$B$2:$B$225,$A10,Items!$G$2:$G$225,"Pending")</f>
        <v>9</v>
      </c>
      <c r="K10" s="4">
        <f>IF(B10-G10=0,0,(D10+E10+F10)/(B10-G10))</f>
        <v>0.0</v>
      </c>
      <c r="L10" s="4">
        <f>IF(B10-G10=0,0,H10/(B10-G10))</f>
        <v>0.0</v>
      </c>
    </row>
    <row r="11">
      <c r="A11" s="0" t="inlineStr">
        <is>
          <t xml:space="preserve">Compare Users</t>
        </is>
      </c>
      <c r="B11" s="0">
        <f>COUNTIFS(Items!$B$2:$B$225,$A11)</f>
        <v>5</v>
      </c>
      <c r="C11" s="0">
        <f>COUNTIFS(Items!$B$2:$B$225,$A11,Items!$F$2:$F$225,C$5)</f>
        <v>5</v>
      </c>
      <c r="D11" s="0">
        <f>COUNTIFS(Items!$B$2:$B$225,$A11,Items!$F$2:$F$225,D$5)</f>
        <v>0</v>
      </c>
      <c r="E11" s="0">
        <f>COUNTIFS(Items!$B$2:$B$225,$A11,Items!$F$2:$F$225,E$5)</f>
        <v>0</v>
      </c>
      <c r="F11" s="0">
        <f>COUNTIFS(Items!$B$2:$B$225,$A11,Items!$F$2:$F$225,F$5)</f>
        <v>0</v>
      </c>
      <c r="G11" s="0">
        <f>COUNTIFS(Items!$B$2:$B$225,$A11,Items!$F$2:$F$225,G$5)</f>
        <v>0</v>
      </c>
      <c r="H11" s="0">
        <f>COUNTIFS(Items!$B$2:$B$225,$A11,Items!$F$2:$F$225,H$5)</f>
        <v>0</v>
      </c>
      <c r="I11" s="0">
        <f>COUNTIFS(Items!$B$2:$B$225,$A11,Items!$G$2:$G$225,"Approved")</f>
        <v>0</v>
      </c>
      <c r="J11" s="0">
        <f>COUNTIFS(Items!$B$2:$B$225,$A11,Items!$G$2:$G$225,"Pending")</f>
        <v>5</v>
      </c>
      <c r="K11" s="4">
        <f>IF(B11-G11=0,0,(D11+E11+F11)/(B11-G11))</f>
        <v>0.0</v>
      </c>
      <c r="L11" s="4">
        <f>IF(B11-G11=0,0,H11/(B11-G11))</f>
        <v>0.0</v>
      </c>
    </row>
    <row r="12">
      <c r="A12" s="0" t="inlineStr">
        <is>
          <t xml:space="preserve">Release Roles</t>
        </is>
      </c>
      <c r="B12" s="0">
        <f>COUNTIFS(Items!$B$2:$B$225,$A12)</f>
        <v>5</v>
      </c>
      <c r="C12" s="0">
        <f>COUNTIFS(Items!$B$2:$B$225,$A12,Items!$F$2:$F$225,C$5)</f>
        <v>5</v>
      </c>
      <c r="D12" s="0">
        <f>COUNTIFS(Items!$B$2:$B$225,$A12,Items!$F$2:$F$225,D$5)</f>
        <v>0</v>
      </c>
      <c r="E12" s="0">
        <f>COUNTIFS(Items!$B$2:$B$225,$A12,Items!$F$2:$F$225,E$5)</f>
        <v>0</v>
      </c>
      <c r="F12" s="0">
        <f>COUNTIFS(Items!$B$2:$B$225,$A12,Items!$F$2:$F$225,F$5)</f>
        <v>0</v>
      </c>
      <c r="G12" s="0">
        <f>COUNTIFS(Items!$B$2:$B$225,$A12,Items!$F$2:$F$225,G$5)</f>
        <v>0</v>
      </c>
      <c r="H12" s="0">
        <f>COUNTIFS(Items!$B$2:$B$225,$A12,Items!$F$2:$F$225,H$5)</f>
        <v>0</v>
      </c>
      <c r="I12" s="0">
        <f>COUNTIFS(Items!$B$2:$B$225,$A12,Items!$G$2:$G$225,"Approved")</f>
        <v>0</v>
      </c>
      <c r="J12" s="0">
        <f>COUNTIFS(Items!$B$2:$B$225,$A12,Items!$G$2:$G$225,"Pending")</f>
        <v>5</v>
      </c>
      <c r="K12" s="4">
        <f>IF(B12-G12=0,0,(D12+E12+F12)/(B12-G12))</f>
        <v>0.0</v>
      </c>
      <c r="L12" s="4">
        <f>IF(B12-G12=0,0,H12/(B12-G12))</f>
        <v>0.0</v>
      </c>
    </row>
    <row r="13">
      <c r="A13" s="0" t="inlineStr">
        <is>
          <t xml:space="preserve">SoD Overview</t>
        </is>
      </c>
      <c r="B13" s="0">
        <f>COUNTIFS(Items!$B$2:$B$225,$A13)</f>
        <v>9</v>
      </c>
      <c r="C13" s="0">
        <f>COUNTIFS(Items!$B$2:$B$225,$A13,Items!$F$2:$F$225,C$5)</f>
        <v>9</v>
      </c>
      <c r="D13" s="0">
        <f>COUNTIFS(Items!$B$2:$B$225,$A13,Items!$F$2:$F$225,D$5)</f>
        <v>0</v>
      </c>
      <c r="E13" s="0">
        <f>COUNTIFS(Items!$B$2:$B$225,$A13,Items!$F$2:$F$225,E$5)</f>
        <v>0</v>
      </c>
      <c r="F13" s="0">
        <f>COUNTIFS(Items!$B$2:$B$225,$A13,Items!$F$2:$F$225,F$5)</f>
        <v>0</v>
      </c>
      <c r="G13" s="0">
        <f>COUNTIFS(Items!$B$2:$B$225,$A13,Items!$F$2:$F$225,G$5)</f>
        <v>0</v>
      </c>
      <c r="H13" s="0">
        <f>COUNTIFS(Items!$B$2:$B$225,$A13,Items!$F$2:$F$225,H$5)</f>
        <v>0</v>
      </c>
      <c r="I13" s="0">
        <f>COUNTIFS(Items!$B$2:$B$225,$A13,Items!$G$2:$G$225,"Approved")</f>
        <v>0</v>
      </c>
      <c r="J13" s="0">
        <f>COUNTIFS(Items!$B$2:$B$225,$A13,Items!$G$2:$G$225,"Pending")</f>
        <v>9</v>
      </c>
      <c r="K13" s="4">
        <f>IF(B13-G13=0,0,(D13+E13+F13)/(B13-G13))</f>
        <v>0.0</v>
      </c>
      <c r="L13" s="4">
        <f>IF(B13-G13=0,0,H13/(B13-G13))</f>
        <v>0.0</v>
      </c>
    </row>
    <row r="14">
      <c r="A14" s="0" t="inlineStr">
        <is>
          <t xml:space="preserve">Risk Matrix</t>
        </is>
      </c>
      <c r="B14" s="0">
        <f>COUNTIFS(Items!$B$2:$B$225,$A14)</f>
        <v>17</v>
      </c>
      <c r="C14" s="0">
        <f>COUNTIFS(Items!$B$2:$B$225,$A14,Items!$F$2:$F$225,C$5)</f>
        <v>17</v>
      </c>
      <c r="D14" s="0">
        <f>COUNTIFS(Items!$B$2:$B$225,$A14,Items!$F$2:$F$225,D$5)</f>
        <v>0</v>
      </c>
      <c r="E14" s="0">
        <f>COUNTIFS(Items!$B$2:$B$225,$A14,Items!$F$2:$F$225,E$5)</f>
        <v>0</v>
      </c>
      <c r="F14" s="0">
        <f>COUNTIFS(Items!$B$2:$B$225,$A14,Items!$F$2:$F$225,F$5)</f>
        <v>0</v>
      </c>
      <c r="G14" s="0">
        <f>COUNTIFS(Items!$B$2:$B$225,$A14,Items!$F$2:$F$225,G$5)</f>
        <v>0</v>
      </c>
      <c r="H14" s="0">
        <f>COUNTIFS(Items!$B$2:$B$225,$A14,Items!$F$2:$F$225,H$5)</f>
        <v>0</v>
      </c>
      <c r="I14" s="0">
        <f>COUNTIFS(Items!$B$2:$B$225,$A14,Items!$G$2:$G$225,"Approved")</f>
        <v>0</v>
      </c>
      <c r="J14" s="0">
        <f>COUNTIFS(Items!$B$2:$B$225,$A14,Items!$G$2:$G$225,"Pending")</f>
        <v>17</v>
      </c>
      <c r="K14" s="4">
        <f>IF(B14-G14=0,0,(D14+E14+F14)/(B14-G14))</f>
        <v>0.0</v>
      </c>
      <c r="L14" s="4">
        <f>IF(B14-G14=0,0,H14/(B14-G14))</f>
        <v>0.0</v>
      </c>
    </row>
    <row r="15">
      <c r="A15" s="0" t="inlineStr">
        <is>
          <t xml:space="preserve">Activity Matrix</t>
        </is>
      </c>
      <c r="B15" s="0">
        <f>COUNTIFS(Items!$B$2:$B$225,$A15)</f>
        <v>4</v>
      </c>
      <c r="C15" s="0">
        <f>COUNTIFS(Items!$B$2:$B$225,$A15,Items!$F$2:$F$225,C$5)</f>
        <v>4</v>
      </c>
      <c r="D15" s="0">
        <f>COUNTIFS(Items!$B$2:$B$225,$A15,Items!$F$2:$F$225,D$5)</f>
        <v>0</v>
      </c>
      <c r="E15" s="0">
        <f>COUNTIFS(Items!$B$2:$B$225,$A15,Items!$F$2:$F$225,E$5)</f>
        <v>0</v>
      </c>
      <c r="F15" s="0">
        <f>COUNTIFS(Items!$B$2:$B$225,$A15,Items!$F$2:$F$225,F$5)</f>
        <v>0</v>
      </c>
      <c r="G15" s="0">
        <f>COUNTIFS(Items!$B$2:$B$225,$A15,Items!$F$2:$F$225,G$5)</f>
        <v>0</v>
      </c>
      <c r="H15" s="0">
        <f>COUNTIFS(Items!$B$2:$B$225,$A15,Items!$F$2:$F$225,H$5)</f>
        <v>0</v>
      </c>
      <c r="I15" s="0">
        <f>COUNTIFS(Items!$B$2:$B$225,$A15,Items!$G$2:$G$225,"Approved")</f>
        <v>0</v>
      </c>
      <c r="J15" s="0">
        <f>COUNTIFS(Items!$B$2:$B$225,$A15,Items!$G$2:$G$225,"Pending")</f>
        <v>4</v>
      </c>
      <c r="K15" s="4">
        <f>IF(B15-G15=0,0,(D15+E15+F15)/(B15-G15))</f>
        <v>0.0</v>
      </c>
      <c r="L15" s="4">
        <f>IF(B15-G15=0,0,H15/(B15-G15))</f>
        <v>0.0</v>
      </c>
    </row>
    <row r="16">
      <c r="A16" s="0" t="inlineStr">
        <is>
          <t xml:space="preserve">Access Explorer</t>
        </is>
      </c>
      <c r="B16" s="0">
        <f>COUNTIFS(Items!$B$2:$B$225,$A16)</f>
        <v>9</v>
      </c>
      <c r="C16" s="0">
        <f>COUNTIFS(Items!$B$2:$B$225,$A16,Items!$F$2:$F$225,C$5)</f>
        <v>9</v>
      </c>
      <c r="D16" s="0">
        <f>COUNTIFS(Items!$B$2:$B$225,$A16,Items!$F$2:$F$225,D$5)</f>
        <v>0</v>
      </c>
      <c r="E16" s="0">
        <f>COUNTIFS(Items!$B$2:$B$225,$A16,Items!$F$2:$F$225,E$5)</f>
        <v>0</v>
      </c>
      <c r="F16" s="0">
        <f>COUNTIFS(Items!$B$2:$B$225,$A16,Items!$F$2:$F$225,F$5)</f>
        <v>0</v>
      </c>
      <c r="G16" s="0">
        <f>COUNTIFS(Items!$B$2:$B$225,$A16,Items!$F$2:$F$225,G$5)</f>
        <v>0</v>
      </c>
      <c r="H16" s="0">
        <f>COUNTIFS(Items!$B$2:$B$225,$A16,Items!$F$2:$F$225,H$5)</f>
        <v>0</v>
      </c>
      <c r="I16" s="0">
        <f>COUNTIFS(Items!$B$2:$B$225,$A16,Items!$G$2:$G$225,"Approved")</f>
        <v>0</v>
      </c>
      <c r="J16" s="0">
        <f>COUNTIFS(Items!$B$2:$B$225,$A16,Items!$G$2:$G$225,"Pending")</f>
        <v>9</v>
      </c>
      <c r="K16" s="4">
        <f>IF(B16-G16=0,0,(D16+E16+F16)/(B16-G16))</f>
        <v>0.0</v>
      </c>
      <c r="L16" s="4">
        <f>IF(B16-G16=0,0,H16/(B16-G16))</f>
        <v>0.0</v>
      </c>
    </row>
    <row r="17">
      <c r="A17" s="0" t="inlineStr">
        <is>
          <t xml:space="preserve">SoD Reviews</t>
        </is>
      </c>
      <c r="B17" s="0">
        <f>COUNTIFS(Items!$B$2:$B$225,$A17)</f>
        <v>15</v>
      </c>
      <c r="C17" s="0">
        <f>COUNTIFS(Items!$B$2:$B$225,$A17,Items!$F$2:$F$225,C$5)</f>
        <v>14</v>
      </c>
      <c r="D17" s="0">
        <f>COUNTIFS(Items!$B$2:$B$225,$A17,Items!$F$2:$F$225,D$5)</f>
        <v>0</v>
      </c>
      <c r="E17" s="0">
        <f>COUNTIFS(Items!$B$2:$B$225,$A17,Items!$F$2:$F$225,E$5)</f>
        <v>0</v>
      </c>
      <c r="F17" s="0">
        <f>COUNTIFS(Items!$B$2:$B$225,$A17,Items!$F$2:$F$225,F$5)</f>
        <v>1</v>
      </c>
      <c r="G17" s="0">
        <f>COUNTIFS(Items!$B$2:$B$225,$A17,Items!$F$2:$F$225,G$5)</f>
        <v>0</v>
      </c>
      <c r="H17" s="0">
        <f>COUNTIFS(Items!$B$2:$B$225,$A17,Items!$F$2:$F$225,H$5)</f>
        <v>0</v>
      </c>
      <c r="I17" s="0">
        <f>COUNTIFS(Items!$B$2:$B$225,$A17,Items!$G$2:$G$225,"Approved")</f>
        <v>0</v>
      </c>
      <c r="J17" s="0">
        <f>COUNTIFS(Items!$B$2:$B$225,$A17,Items!$G$2:$G$225,"Pending")</f>
        <v>15</v>
      </c>
      <c r="K17" s="4">
        <f>IF(B17-G17=0,0,(D17+E17+F17)/(B17-G17))</f>
        <v>0.066667</v>
      </c>
      <c r="L17" s="4">
        <f>IF(B17-G17=0,0,H17/(B17-G17))</f>
        <v>0.0</v>
      </c>
    </row>
    <row r="18">
      <c r="A18" s="0" t="inlineStr">
        <is>
          <t xml:space="preserve">Review Periods</t>
        </is>
      </c>
      <c r="B18" s="0">
        <f>COUNTIFS(Items!$B$2:$B$225,$A18)</f>
        <v>10</v>
      </c>
      <c r="C18" s="0">
        <f>COUNTIFS(Items!$B$2:$B$225,$A18,Items!$F$2:$F$225,C$5)</f>
        <v>10</v>
      </c>
      <c r="D18" s="0">
        <f>COUNTIFS(Items!$B$2:$B$225,$A18,Items!$F$2:$F$225,D$5)</f>
        <v>0</v>
      </c>
      <c r="E18" s="0">
        <f>COUNTIFS(Items!$B$2:$B$225,$A18,Items!$F$2:$F$225,E$5)</f>
        <v>0</v>
      </c>
      <c r="F18" s="0">
        <f>COUNTIFS(Items!$B$2:$B$225,$A18,Items!$F$2:$F$225,F$5)</f>
        <v>0</v>
      </c>
      <c r="G18" s="0">
        <f>COUNTIFS(Items!$B$2:$B$225,$A18,Items!$F$2:$F$225,G$5)</f>
        <v>0</v>
      </c>
      <c r="H18" s="0">
        <f>COUNTIFS(Items!$B$2:$B$225,$A18,Items!$F$2:$F$225,H$5)</f>
        <v>0</v>
      </c>
      <c r="I18" s="0">
        <f>COUNTIFS(Items!$B$2:$B$225,$A18,Items!$G$2:$G$225,"Approved")</f>
        <v>0</v>
      </c>
      <c r="J18" s="0">
        <f>COUNTIFS(Items!$B$2:$B$225,$A18,Items!$G$2:$G$225,"Pending")</f>
        <v>10</v>
      </c>
      <c r="K18" s="4">
        <f>IF(B18-G18=0,0,(D18+E18+F18)/(B18-G18))</f>
        <v>0.0</v>
      </c>
      <c r="L18" s="4">
        <f>IF(B18-G18=0,0,H18/(B18-G18))</f>
        <v>0.0</v>
      </c>
    </row>
    <row r="19">
      <c r="A19" s="0" t="inlineStr">
        <is>
          <t xml:space="preserve">SoD Reports</t>
        </is>
      </c>
      <c r="B19" s="0">
        <f>COUNTIFS(Items!$B$2:$B$225,$A19)</f>
        <v>7</v>
      </c>
      <c r="C19" s="0">
        <f>COUNTIFS(Items!$B$2:$B$225,$A19,Items!$F$2:$F$225,C$5)</f>
        <v>7</v>
      </c>
      <c r="D19" s="0">
        <f>COUNTIFS(Items!$B$2:$B$225,$A19,Items!$F$2:$F$225,D$5)</f>
        <v>0</v>
      </c>
      <c r="E19" s="0">
        <f>COUNTIFS(Items!$B$2:$B$225,$A19,Items!$F$2:$F$225,E$5)</f>
        <v>0</v>
      </c>
      <c r="F19" s="0">
        <f>COUNTIFS(Items!$B$2:$B$225,$A19,Items!$F$2:$F$225,F$5)</f>
        <v>0</v>
      </c>
      <c r="G19" s="0">
        <f>COUNTIFS(Items!$B$2:$B$225,$A19,Items!$F$2:$F$225,G$5)</f>
        <v>0</v>
      </c>
      <c r="H19" s="0">
        <f>COUNTIFS(Items!$B$2:$B$225,$A19,Items!$F$2:$F$225,H$5)</f>
        <v>0</v>
      </c>
      <c r="I19" s="0">
        <f>COUNTIFS(Items!$B$2:$B$225,$A19,Items!$G$2:$G$225,"Approved")</f>
        <v>0</v>
      </c>
      <c r="J19" s="0">
        <f>COUNTIFS(Items!$B$2:$B$225,$A19,Items!$G$2:$G$225,"Pending")</f>
        <v>7</v>
      </c>
      <c r="K19" s="4">
        <f>IF(B19-G19=0,0,(D19+E19+F19)/(B19-G19))</f>
        <v>0.0</v>
      </c>
      <c r="L19" s="4">
        <f>IF(B19-G19=0,0,H19/(B19-G19))</f>
        <v>0.0</v>
      </c>
    </row>
    <row r="20">
      <c r="A20" s="0" t="inlineStr">
        <is>
          <t xml:space="preserve">Settings and Data Sources</t>
        </is>
      </c>
      <c r="B20" s="0">
        <f>COUNTIFS(Items!$B$2:$B$225,$A20)</f>
        <v>23</v>
      </c>
      <c r="C20" s="0">
        <f>COUNTIFS(Items!$B$2:$B$225,$A20,Items!$F$2:$F$225,C$5)</f>
        <v>23</v>
      </c>
      <c r="D20" s="0">
        <f>COUNTIFS(Items!$B$2:$B$225,$A20,Items!$F$2:$F$225,D$5)</f>
        <v>0</v>
      </c>
      <c r="E20" s="0">
        <f>COUNTIFS(Items!$B$2:$B$225,$A20,Items!$F$2:$F$225,E$5)</f>
        <v>0</v>
      </c>
      <c r="F20" s="0">
        <f>COUNTIFS(Items!$B$2:$B$225,$A20,Items!$F$2:$F$225,F$5)</f>
        <v>0</v>
      </c>
      <c r="G20" s="0">
        <f>COUNTIFS(Items!$B$2:$B$225,$A20,Items!$F$2:$F$225,G$5)</f>
        <v>0</v>
      </c>
      <c r="H20" s="0">
        <f>COUNTIFS(Items!$B$2:$B$225,$A20,Items!$F$2:$F$225,H$5)</f>
        <v>0</v>
      </c>
      <c r="I20" s="0">
        <f>COUNTIFS(Items!$B$2:$B$225,$A20,Items!$G$2:$G$225,"Approved")</f>
        <v>0</v>
      </c>
      <c r="J20" s="0">
        <f>COUNTIFS(Items!$B$2:$B$225,$A20,Items!$G$2:$G$225,"Pending")</f>
        <v>23</v>
      </c>
      <c r="K20" s="4">
        <f>IF(B20-G20=0,0,(D20+E20+F20)/(B20-G20))</f>
        <v>0.0</v>
      </c>
      <c r="L20" s="4">
        <f>IF(B20-G20=0,0,H20/(B20-G20))</f>
        <v>0.0</v>
      </c>
    </row>
    <row r="21">
      <c r="A21" s="0" t="inlineStr">
        <is>
          <t xml:space="preserve">SAP Modules</t>
        </is>
      </c>
      <c r="B21" s="0">
        <f>COUNTIFS(Items!$B$2:$B$225,$A21)</f>
        <v>2</v>
      </c>
      <c r="C21" s="0">
        <f>COUNTIFS(Items!$B$2:$B$225,$A21,Items!$F$2:$F$225,C$5)</f>
        <v>2</v>
      </c>
      <c r="D21" s="0">
        <f>COUNTIFS(Items!$B$2:$B$225,$A21,Items!$F$2:$F$225,D$5)</f>
        <v>0</v>
      </c>
      <c r="E21" s="0">
        <f>COUNTIFS(Items!$B$2:$B$225,$A21,Items!$F$2:$F$225,E$5)</f>
        <v>0</v>
      </c>
      <c r="F21" s="0">
        <f>COUNTIFS(Items!$B$2:$B$225,$A21,Items!$F$2:$F$225,F$5)</f>
        <v>0</v>
      </c>
      <c r="G21" s="0">
        <f>COUNTIFS(Items!$B$2:$B$225,$A21,Items!$F$2:$F$225,G$5)</f>
        <v>0</v>
      </c>
      <c r="H21" s="0">
        <f>COUNTIFS(Items!$B$2:$B$225,$A21,Items!$F$2:$F$225,H$5)</f>
        <v>0</v>
      </c>
      <c r="I21" s="0">
        <f>COUNTIFS(Items!$B$2:$B$225,$A21,Items!$G$2:$G$225,"Approved")</f>
        <v>0</v>
      </c>
      <c r="J21" s="0">
        <f>COUNTIFS(Items!$B$2:$B$225,$A21,Items!$G$2:$G$225,"Pending")</f>
        <v>2</v>
      </c>
      <c r="K21" s="4">
        <f>IF(B21-G21=0,0,(D21+E21+F21)/(B21-G21))</f>
        <v>0.0</v>
      </c>
      <c r="L21" s="4">
        <f>IF(B21-G21=0,0,H21/(B21-G21))</f>
        <v>0.0</v>
      </c>
    </row>
    <row r="22">
      <c r="A22" s="0" t="inlineStr">
        <is>
          <t xml:space="preserve">SoD Risk Configuration</t>
        </is>
      </c>
      <c r="B22" s="0">
        <f>COUNTIFS(Items!$B$2:$B$225,$A22)</f>
        <v>6</v>
      </c>
      <c r="C22" s="0">
        <f>COUNTIFS(Items!$B$2:$B$225,$A22,Items!$F$2:$F$225,C$5)</f>
        <v>6</v>
      </c>
      <c r="D22" s="0">
        <f>COUNTIFS(Items!$B$2:$B$225,$A22,Items!$F$2:$F$225,D$5)</f>
        <v>0</v>
      </c>
      <c r="E22" s="0">
        <f>COUNTIFS(Items!$B$2:$B$225,$A22,Items!$F$2:$F$225,E$5)</f>
        <v>0</v>
      </c>
      <c r="F22" s="0">
        <f>COUNTIFS(Items!$B$2:$B$225,$A22,Items!$F$2:$F$225,F$5)</f>
        <v>0</v>
      </c>
      <c r="G22" s="0">
        <f>COUNTIFS(Items!$B$2:$B$225,$A22,Items!$F$2:$F$225,G$5)</f>
        <v>0</v>
      </c>
      <c r="H22" s="0">
        <f>COUNTIFS(Items!$B$2:$B$225,$A22,Items!$F$2:$F$225,H$5)</f>
        <v>0</v>
      </c>
      <c r="I22" s="0">
        <f>COUNTIFS(Items!$B$2:$B$225,$A22,Items!$G$2:$G$225,"Approved")</f>
        <v>0</v>
      </c>
      <c r="J22" s="0">
        <f>COUNTIFS(Items!$B$2:$B$225,$A22,Items!$G$2:$G$225,"Pending")</f>
        <v>6</v>
      </c>
      <c r="K22" s="4">
        <f>IF(B22-G22=0,0,(D22+E22+F22)/(B22-G22))</f>
        <v>0.0</v>
      </c>
      <c r="L22" s="4">
        <f>IF(B22-G22=0,0,H22/(B22-G22))</f>
        <v>0.0</v>
      </c>
    </row>
    <row r="23">
      <c r="A23" s="0" t="inlineStr">
        <is>
          <t xml:space="preserve">Component Library</t>
        </is>
      </c>
      <c r="B23" s="0">
        <f>COUNTIFS(Items!$B$2:$B$225,$A23)</f>
        <v>23</v>
      </c>
      <c r="C23" s="0">
        <f>COUNTIFS(Items!$B$2:$B$225,$A23,Items!$F$2:$F$225,C$5)</f>
        <v>22</v>
      </c>
      <c r="D23" s="0">
        <f>COUNTIFS(Items!$B$2:$B$225,$A23,Items!$F$2:$F$225,D$5)</f>
        <v>0</v>
      </c>
      <c r="E23" s="0">
        <f>COUNTIFS(Items!$B$2:$B$225,$A23,Items!$F$2:$F$225,E$5)</f>
        <v>0</v>
      </c>
      <c r="F23" s="0">
        <f>COUNTIFS(Items!$B$2:$B$225,$A23,Items!$F$2:$F$225,F$5)</f>
        <v>1</v>
      </c>
      <c r="G23" s="0">
        <f>COUNTIFS(Items!$B$2:$B$225,$A23,Items!$F$2:$F$225,G$5)</f>
        <v>0</v>
      </c>
      <c r="H23" s="0">
        <f>COUNTIFS(Items!$B$2:$B$225,$A23,Items!$F$2:$F$225,H$5)</f>
        <v>0</v>
      </c>
      <c r="I23" s="0">
        <f>COUNTIFS(Items!$B$2:$B$225,$A23,Items!$G$2:$G$225,"Approved")</f>
        <v>0</v>
      </c>
      <c r="J23" s="0">
        <f>COUNTIFS(Items!$B$2:$B$225,$A23,Items!$G$2:$G$225,"Pending")</f>
        <v>23</v>
      </c>
      <c r="K23" s="4">
        <f>IF(B23-G23=0,0,(D23+E23+F23)/(B23-G23))</f>
        <v>0.043478</v>
      </c>
      <c r="L23" s="4">
        <f>IF(B23-G23=0,0,H23/(B23-G23))</f>
        <v>0.0</v>
      </c>
    </row>
    <row r="24">
      <c r="A24" s="0" t="inlineStr">
        <is>
          <t xml:space="preserve">Desktop and Startup</t>
        </is>
      </c>
      <c r="B24" s="0">
        <f>COUNTIFS(Items!$B$2:$B$225,$A24)</f>
        <v>4</v>
      </c>
      <c r="C24" s="0">
        <f>COUNTIFS(Items!$B$2:$B$225,$A24,Items!$F$2:$F$225,C$5)</f>
        <v>2</v>
      </c>
      <c r="D24" s="0">
        <f>COUNTIFS(Items!$B$2:$B$225,$A24,Items!$F$2:$F$225,D$5)</f>
        <v>0</v>
      </c>
      <c r="E24" s="0">
        <f>COUNTIFS(Items!$B$2:$B$225,$A24,Items!$F$2:$F$225,E$5)</f>
        <v>0</v>
      </c>
      <c r="F24" s="0">
        <f>COUNTIFS(Items!$B$2:$B$225,$A24,Items!$F$2:$F$225,F$5)</f>
        <v>0</v>
      </c>
      <c r="G24" s="0">
        <f>COUNTIFS(Items!$B$2:$B$225,$A24,Items!$F$2:$F$225,G$5)</f>
        <v>2</v>
      </c>
      <c r="H24" s="0">
        <f>COUNTIFS(Items!$B$2:$B$225,$A24,Items!$F$2:$F$225,H$5)</f>
        <v>0</v>
      </c>
      <c r="I24" s="0">
        <f>COUNTIFS(Items!$B$2:$B$225,$A24,Items!$G$2:$G$225,"Approved")</f>
        <v>0</v>
      </c>
      <c r="J24" s="0">
        <f>COUNTIFS(Items!$B$2:$B$225,$A24,Items!$G$2:$G$225,"Pending")</f>
        <v>4</v>
      </c>
      <c r="K24" s="4">
        <f>IF(B24-G24=0,0,(D24+E24+F24)/(B24-G24))</f>
        <v>0.0</v>
      </c>
      <c r="L24" s="4">
        <f>IF(B24-G24=0,0,H24/(B24-G24))</f>
        <v>0.0</v>
      </c>
    </row>
    <row r="25">
      <c r="A25" s="0" t="inlineStr">
        <is>
          <t xml:space="preserve">Server and Deployment</t>
        </is>
      </c>
      <c r="B25" s="0">
        <f>COUNTIFS(Items!$B$2:$B$225,$A25)</f>
        <v>22</v>
      </c>
      <c r="C25" s="0">
        <f>COUNTIFS(Items!$B$2:$B$225,$A25,Items!$F$2:$F$225,C$5)</f>
        <v>21</v>
      </c>
      <c r="D25" s="0">
        <f>COUNTIFS(Items!$B$2:$B$225,$A25,Items!$F$2:$F$225,D$5)</f>
        <v>0</v>
      </c>
      <c r="E25" s="0">
        <f>COUNTIFS(Items!$B$2:$B$225,$A25,Items!$F$2:$F$225,E$5)</f>
        <v>0</v>
      </c>
      <c r="F25" s="0">
        <f>COUNTIFS(Items!$B$2:$B$225,$A25,Items!$F$2:$F$225,F$5)</f>
        <v>0</v>
      </c>
      <c r="G25" s="0">
        <f>COUNTIFS(Items!$B$2:$B$225,$A25,Items!$F$2:$F$225,G$5)</f>
        <v>1</v>
      </c>
      <c r="H25" s="0">
        <f>COUNTIFS(Items!$B$2:$B$225,$A25,Items!$F$2:$F$225,H$5)</f>
        <v>0</v>
      </c>
      <c r="I25" s="0">
        <f>COUNTIFS(Items!$B$2:$B$225,$A25,Items!$G$2:$G$225,"Approved")</f>
        <v>0</v>
      </c>
      <c r="J25" s="0">
        <f>COUNTIFS(Items!$B$2:$B$225,$A25,Items!$G$2:$G$225,"Pending")</f>
        <v>22</v>
      </c>
      <c r="K25" s="4">
        <f>IF(B25-G25=0,0,(D25+E25+F25)/(B25-G25))</f>
        <v>0.0</v>
      </c>
      <c r="L25" s="4">
        <f>IF(B25-G25=0,0,H25/(B25-G25))</f>
        <v>0.0</v>
      </c>
    </row>
    <row r="26">
      <c r="A26" s="0" t="inlineStr">
        <is>
          <t xml:space="preserve">Accessibility and Responsive Design</t>
        </is>
      </c>
      <c r="B26" s="0">
        <f>COUNTIFS(Items!$B$2:$B$225,$A26)</f>
        <v>3</v>
      </c>
      <c r="C26" s="0">
        <f>COUNTIFS(Items!$B$2:$B$225,$A26,Items!$F$2:$F$225,C$5)</f>
        <v>3</v>
      </c>
      <c r="D26" s="0">
        <f>COUNTIFS(Items!$B$2:$B$225,$A26,Items!$F$2:$F$225,D$5)</f>
        <v>0</v>
      </c>
      <c r="E26" s="0">
        <f>COUNTIFS(Items!$B$2:$B$225,$A26,Items!$F$2:$F$225,E$5)</f>
        <v>0</v>
      </c>
      <c r="F26" s="0">
        <f>COUNTIFS(Items!$B$2:$B$225,$A26,Items!$F$2:$F$225,F$5)</f>
        <v>0</v>
      </c>
      <c r="G26" s="0">
        <f>COUNTIFS(Items!$B$2:$B$225,$A26,Items!$F$2:$F$225,G$5)</f>
        <v>0</v>
      </c>
      <c r="H26" s="0">
        <f>COUNTIFS(Items!$B$2:$B$225,$A26,Items!$F$2:$F$225,H$5)</f>
        <v>0</v>
      </c>
      <c r="I26" s="0">
        <f>COUNTIFS(Items!$B$2:$B$225,$A26,Items!$G$2:$G$225,"Approved")</f>
        <v>0</v>
      </c>
      <c r="J26" s="0">
        <f>COUNTIFS(Items!$B$2:$B$225,$A26,Items!$G$2:$G$225,"Pending")</f>
        <v>3</v>
      </c>
      <c r="K26" s="4">
        <f>IF(B26-G26=0,0,(D26+E26+F26)/(B26-G26))</f>
        <v>0.0</v>
      </c>
      <c r="L26" s="4">
        <f>IF(B26-G26=0,0,H26/(B26-G26))</f>
        <v>0.0</v>
      </c>
    </row>
    <row r="27">
      <c r="A27" s="0" t="inlineStr">
        <is>
          <t xml:space="preserve">Security and Data Integrity</t>
        </is>
      </c>
      <c r="B27" s="0">
        <f>COUNTIFS(Items!$B$2:$B$225,$A27)</f>
        <v>14</v>
      </c>
      <c r="C27" s="0">
        <f>COUNTIFS(Items!$B$2:$B$225,$A27,Items!$F$2:$F$225,C$5)</f>
        <v>14</v>
      </c>
      <c r="D27" s="0">
        <f>COUNTIFS(Items!$B$2:$B$225,$A27,Items!$F$2:$F$225,D$5)</f>
        <v>0</v>
      </c>
      <c r="E27" s="0">
        <f>COUNTIFS(Items!$B$2:$B$225,$A27,Items!$F$2:$F$225,E$5)</f>
        <v>0</v>
      </c>
      <c r="F27" s="0">
        <f>COUNTIFS(Items!$B$2:$B$225,$A27,Items!$F$2:$F$225,F$5)</f>
        <v>0</v>
      </c>
      <c r="G27" s="0">
        <f>COUNTIFS(Items!$B$2:$B$225,$A27,Items!$F$2:$F$225,G$5)</f>
        <v>0</v>
      </c>
      <c r="H27" s="0">
        <f>COUNTIFS(Items!$B$2:$B$225,$A27,Items!$F$2:$F$225,H$5)</f>
        <v>0</v>
      </c>
      <c r="I27" s="0">
        <f>COUNTIFS(Items!$B$2:$B$225,$A27,Items!$G$2:$G$225,"Approved")</f>
        <v>0</v>
      </c>
      <c r="J27" s="0">
        <f>COUNTIFS(Items!$B$2:$B$225,$A27,Items!$G$2:$G$225,"Pending")</f>
        <v>14</v>
      </c>
      <c r="K27" s="4">
        <f>IF(B27-G27=0,0,(D27+E27+F27)/(B27-G27))</f>
        <v>0.0</v>
      </c>
      <c r="L27" s="4">
        <f>IF(B27-G27=0,0,H27/(B27-G27))</f>
        <v>0.0</v>
      </c>
    </row>
    <row r="28">
      <c r="A28" s="5" t="inlineStr">
        <is>
          <t xml:space="preserve">All areas</t>
        </is>
      </c>
      <c r="B28" s="5">
        <f>SUM(B6:B27)</f>
        <v>224</v>
      </c>
      <c r="C28" s="5">
        <f>SUM(C6:C27)</f>
        <v>218</v>
      </c>
      <c r="D28" s="5">
        <f>SUM(D6:D27)</f>
        <v>0</v>
      </c>
      <c r="E28" s="5">
        <f>SUM(E6:E27)</f>
        <v>0</v>
      </c>
      <c r="F28" s="5">
        <f>SUM(F6:F27)</f>
        <v>3</v>
      </c>
      <c r="G28" s="5">
        <f>SUM(G6:G27)</f>
        <v>3</v>
      </c>
      <c r="H28" s="5">
        <f>SUM(H6:H27)</f>
        <v>0</v>
      </c>
      <c r="I28" s="5">
        <f>SUM(I6:I27)</f>
        <v>0</v>
      </c>
      <c r="J28" s="5">
        <f>SUM(J6:J27)</f>
        <v>224</v>
      </c>
      <c r="K28" s="4">
        <f>IF(B28-G28=0,0,(D28+E28+F28)/(B28-G28))</f>
        <v>0.013393</v>
      </c>
      <c r="L28" s="4">
        <f>IF(B28-G28=0,0,H28/(B28-G28))</f>
        <v>0.0</v>
      </c>
    </row>
    <row r="30">
      <c r="A30" s="1" t="inlineStr">
        <is>
          <t xml:space="preserve">Outstanding</t>
        </is>
      </c>
      <c r="B30" s="1" t="inlineStr">
        <is>
          <t xml:space="preserve">Count</t>
        </is>
      </c>
    </row>
    <row r="31">
      <c r="A31" s="0" t="inlineStr">
        <is>
          <t xml:space="preserve">Failed items</t>
        </is>
      </c>
      <c r="B31" s="0">
        <f>COUNTIFS(Items!$F$2:$F$225,"Failed")</f>
        <v>0</v>
      </c>
    </row>
    <row r="32">
      <c r="A32" s="0" t="inlineStr">
        <is>
          <t xml:space="preserve">Items needing improvement</t>
        </is>
      </c>
      <c r="B32" s="0">
        <f>COUNTIFS(Items!$F$2:$F$225,"Needs improvement")</f>
        <v>3</v>
      </c>
    </row>
    <row r="33">
      <c r="A33" s="0" t="inlineStr">
        <is>
          <t xml:space="preserve">Blocked items</t>
        </is>
      </c>
      <c r="B33" s="0">
        <f>COUNTIFS(Items!$F$2:$F$225,"Blocked")</f>
        <v>3</v>
      </c>
    </row>
    <row r="34">
      <c r="A34" s="0" t="inlineStr">
        <is>
          <t xml:space="preserve">Items linked to an open finding</t>
        </is>
      </c>
      <c r="B34" s="0">
        <f>COUNTIFS(Items!$L$2:$L$225,"&lt;&gt;",Items!$F$2:$F$225,"&lt;&gt;Passed")</f>
        <v>11</v>
      </c>
    </row>
    <row r="35">
      <c r="A35" s="0" t="inlineStr">
        <is>
          <t xml:space="preserve">Items with automated test evidence</t>
        </is>
      </c>
      <c r="B35" s="0">
        <f>COUNTIFS(Items!$H$2:$H$225,"&lt;&gt;")</f>
        <v>83</v>
      </c>
    </row>
  </sheetData>
</worksheet>
</file>

<file path=xl/worksheets/sheet2.xml><?xml version="1.0" encoding="utf-8"?>
<worksheet xmlns="http://schemas.openxmlformats.org/spreadsheetml/2006/main" xmlns:r="http://schemas.openxmlformats.org/officeDocument/2006/relationships">
  <sheetViews>
    <sheetView workbookViewId="0">
      <pane xSplit="1" ySplit="1" topLeftCell="B2" activePane="bottomRight" state="frozen"/>
    </sheetView>
  </sheetViews>
  <cols>
    <col min="1" max="1" width="10" customWidth="1"/>
    <col min="2" max="2" width="30" customWidth="1"/>
    <col min="3" max="3" width="34" customWidth="1"/>
    <col min="4" max="4" width="60" customWidth="1"/>
    <col min="5" max="5" width="11" customWidth="1"/>
    <col min="6" max="6" width="16" customWidth="1"/>
    <col min="7" max="7" width="14" customWidth="1"/>
    <col min="8" max="8" width="40" customWidth="1"/>
    <col min="9" max="9" width="14" customWidth="1"/>
    <col min="10" max="10" width="14" customWidth="1"/>
    <col min="11" max="11" width="44" customWidth="1"/>
    <col min="12" max="12" width="24" customWidth="1"/>
    <col min="13" max="13" width="36" customWidth="1"/>
    <col min="14" max="14" width="40" customWidth="1"/>
    <col min="15" max="15" width="36" customWidth="1"/>
    <col min="16" max="16" width="36" customWidth="1"/>
    <col min="17" max="17" width="18" customWidth="1"/>
    <col min="18" max="18" width="20" customWidth="1"/>
    <col min="19" max="19" width="14" customWidth="1"/>
  </cols>
  <sheetData>
    <row r="1">
      <c r="A1" s="1" t="inlineStr">
        <is>
          <t xml:space="preserve">ID</t>
        </is>
      </c>
      <c r="B1" s="1" t="inlineStr">
        <is>
          <t xml:space="preserve">Area</t>
        </is>
      </c>
      <c r="C1" s="1" t="inlineStr">
        <is>
          <t xml:space="preserve">Page/component</t>
        </is>
      </c>
      <c r="D1" s="1" t="inlineStr">
        <is>
          <t xml:space="preserve">Validation criterion</t>
        </is>
      </c>
      <c r="E1" s="1" t="inlineStr">
        <is>
          <t xml:space="preserve">Priority</t>
        </is>
      </c>
      <c r="F1" s="1" t="inlineStr">
        <is>
          <t xml:space="preserve">Status</t>
        </is>
      </c>
      <c r="G1" s="1" t="inlineStr">
        <is>
          <t xml:space="preserve">Manual approval</t>
        </is>
      </c>
      <c r="H1" s="1" t="inlineStr">
        <is>
          <t xml:space="preserve">Automated test evidence</t>
        </is>
      </c>
      <c r="I1" s="1" t="inlineStr">
        <is>
          <t xml:space="preserve">Last validated date</t>
        </is>
      </c>
      <c r="J1" s="1" t="inlineStr">
        <is>
          <t xml:space="preserve">Build/commit</t>
        </is>
      </c>
      <c r="K1" s="1" t="inlineStr">
        <is>
          <t xml:space="preserve">Notes</t>
        </is>
      </c>
      <c r="L1" s="1" t="inlineStr">
        <is>
          <t xml:space="preserve">Linked issue or finding</t>
        </is>
      </c>
      <c r="M1" s="1" t="inlineStr">
        <is>
          <t xml:space="preserve">Potential future improvement</t>
        </is>
      </c>
      <c r="N1" s="1" t="inlineStr">
        <is>
          <t xml:space="preserve">Manual validation steps</t>
        </is>
      </c>
      <c r="O1" s="1" t="inlineStr">
        <is>
          <t xml:space="preserve">Known limitations</t>
        </is>
      </c>
      <c r="P1" s="1" t="inlineStr">
        <is>
          <t xml:space="preserve">Implementation reference</t>
        </is>
      </c>
      <c r="Q1" s="1" t="inlineStr">
        <is>
          <t xml:space="preserve">Implementation status</t>
        </is>
      </c>
      <c r="R1" s="1" t="inlineStr">
        <is>
          <t xml:space="preserve">Classification</t>
        </is>
      </c>
      <c r="S1" s="1" t="inlineStr">
        <is>
          <t xml:space="preserve">Retest status</t>
        </is>
      </c>
    </row>
    <row r="2">
      <c r="A2" s="2" t="inlineStr">
        <is>
          <t xml:space="preserve">DASH-001</t>
        </is>
      </c>
      <c r="B2" s="2" t="inlineStr">
        <is>
          <t xml:space="preserve">Dashboard</t>
        </is>
      </c>
      <c r="C2" s="2" t="inlineStr">
        <is>
          <t xml:space="preserve">Dashboard › Access &amp; Risk card</t>
        </is>
      </c>
      <c r="D2" s="2" t="inlineStr">
        <is>
          <t xml:space="preserve">SAP users, role assignment records and risk figures match the loaded data and open the matching filtered view.</t>
        </is>
      </c>
      <c r="E2" s="2" t="inlineStr">
        <is>
          <t xml:space="preserve">Not set</t>
        </is>
      </c>
      <c r="F2" s="2" t="inlineStr">
        <is>
          <t xml:space="preserve">Not tested</t>
        </is>
      </c>
      <c r="G2" s="2" t="inlineStr">
        <is>
          <t xml:space="preserve">Pending</t>
        </is>
      </c>
      <c r="H2" s="2" t="inlineStr">
        <is>
          <t xml:space="preserve"/>
        </is>
      </c>
      <c r="I2" s="2" t="inlineStr">
        <is>
          <t xml:space="preserve"/>
        </is>
      </c>
      <c r="J2" s="2" t="inlineStr">
        <is>
          <t xml:space="preserve"/>
        </is>
      </c>
      <c r="K2" s="2" t="inlineStr">
        <is>
          <t xml:space="preserve"/>
        </is>
      </c>
      <c r="L2" s="2" t="inlineStr">
        <is>
          <t xml:space="preserve"/>
        </is>
      </c>
      <c r="M2" s="2" t="inlineStr">
        <is>
          <t xml:space="preserve"/>
        </is>
      </c>
      <c r="N2" s="2" t="inlineStr">
        <is>
          <t xml:space="preserve"/>
        </is>
      </c>
      <c r="O2" s="2" t="inlineStr">
        <is>
          <t xml:space="preserve"/>
        </is>
      </c>
      <c r="P2" s="2" t="inlineStr">
        <is>
          <t xml:space="preserve">docs/features/DASHBOARD.md; frontend/tests/dashboard-user-transactions.spec.ts</t>
        </is>
      </c>
      <c r="Q2" s="2" t="inlineStr">
        <is>
          <t xml:space="preserve">Not assessed</t>
        </is>
      </c>
      <c r="R2" s="2" t="inlineStr">
        <is>
          <t xml:space="preserve">Unclassified</t>
        </is>
      </c>
      <c r="S2" s="2" t="inlineStr">
        <is>
          <t xml:space="preserve">Not started</t>
        </is>
      </c>
    </row>
    <row r="3">
      <c r="A3" s="2" t="inlineStr">
        <is>
          <t xml:space="preserve">DASH-002</t>
        </is>
      </c>
      <c r="B3" s="2" t="inlineStr">
        <is>
          <t xml:space="preserve">Dashboard</t>
        </is>
      </c>
      <c r="C3" s="2" t="inlineStr">
        <is>
          <t xml:space="preserve">Dashboard › Review Progress card</t>
        </is>
      </c>
      <c r="D3" s="2" t="inlineStr">
        <is>
          <t xml:space="preserve">Completed, not yet reviewed and outdated reviews with the share reviewed; no invented trends.</t>
        </is>
      </c>
      <c r="E3" s="2" t="inlineStr">
        <is>
          <t xml:space="preserve">Not set</t>
        </is>
      </c>
      <c r="F3" s="2" t="inlineStr">
        <is>
          <t xml:space="preserve">Not tested</t>
        </is>
      </c>
      <c r="G3" s="2" t="inlineStr">
        <is>
          <t xml:space="preserve">Pending</t>
        </is>
      </c>
      <c r="H3" s="2" t="inlineStr">
        <is>
          <t xml:space="preserve"/>
        </is>
      </c>
      <c r="I3" s="2" t="inlineStr">
        <is>
          <t xml:space="preserve"/>
        </is>
      </c>
      <c r="J3" s="2" t="inlineStr">
        <is>
          <t xml:space="preserve"/>
        </is>
      </c>
      <c r="K3" s="2" t="inlineStr">
        <is>
          <t xml:space="preserve"/>
        </is>
      </c>
      <c r="L3" s="2" t="inlineStr">
        <is>
          <t xml:space="preserve"/>
        </is>
      </c>
      <c r="M3" s="2" t="inlineStr">
        <is>
          <t xml:space="preserve"/>
        </is>
      </c>
      <c r="N3" s="2" t="inlineStr">
        <is>
          <t xml:space="preserve"/>
        </is>
      </c>
      <c r="O3" s="2" t="inlineStr">
        <is>
          <t xml:space="preserve"/>
        </is>
      </c>
      <c r="P3" s="2" t="inlineStr">
        <is>
          <t xml:space="preserve">docs/features/DASHBOARD.md; frontend/tests/refinement-r2.spec.ts</t>
        </is>
      </c>
      <c r="Q3" s="2" t="inlineStr">
        <is>
          <t xml:space="preserve">Not assessed</t>
        </is>
      </c>
      <c r="R3" s="2" t="inlineStr">
        <is>
          <t xml:space="preserve">Unclassified</t>
        </is>
      </c>
      <c r="S3" s="2" t="inlineStr">
        <is>
          <t xml:space="preserve">Not started</t>
        </is>
      </c>
    </row>
    <row r="4">
      <c r="A4" s="2" t="inlineStr">
        <is>
          <t xml:space="preserve">DASH-003</t>
        </is>
      </c>
      <c r="B4" s="2" t="inlineStr">
        <is>
          <t xml:space="preserve">Dashboard</t>
        </is>
      </c>
      <c r="C4" s="2" t="inlineStr">
        <is>
          <t xml:space="preserve">Dashboard › Directory &amp; Data Health card</t>
        </is>
      </c>
      <c r="D4" s="2" t="inlineStr">
        <is>
          <t xml:space="preserve">Match percentage uses the central thresholds; matched, missing and ambiguous partition the SAP users; position changes are independent.</t>
        </is>
      </c>
      <c r="E4" s="2" t="inlineStr">
        <is>
          <t xml:space="preserve">Not set</t>
        </is>
      </c>
      <c r="F4" s="2" t="inlineStr">
        <is>
          <t xml:space="preserve">Not tested</t>
        </is>
      </c>
      <c r="G4" s="2" t="inlineStr">
        <is>
          <t xml:space="preserve">Pending</t>
        </is>
      </c>
      <c r="H4" s="2" t="inlineStr">
        <is>
          <t xml:space="preserve"/>
        </is>
      </c>
      <c r="I4" s="2" t="inlineStr">
        <is>
          <t xml:space="preserve"/>
        </is>
      </c>
      <c r="J4" s="2" t="inlineStr">
        <is>
          <t xml:space="preserve"/>
        </is>
      </c>
      <c r="K4" s="2" t="inlineStr">
        <is>
          <t xml:space="preserve"/>
        </is>
      </c>
      <c r="L4" s="2" t="inlineStr">
        <is>
          <t xml:space="preserve"/>
        </is>
      </c>
      <c r="M4" s="2" t="inlineStr">
        <is>
          <t xml:space="preserve"/>
        </is>
      </c>
      <c r="N4" s="2" t="inlineStr">
        <is>
          <t xml:space="preserve"/>
        </is>
      </c>
      <c r="O4" s="2" t="inlineStr">
        <is>
          <t xml:space="preserve"/>
        </is>
      </c>
      <c r="P4" s="2" t="inlineStr">
        <is>
          <t xml:space="preserve">docs/features/DASHBOARD.md; frontend/tests/refinement-r2.spec.ts</t>
        </is>
      </c>
      <c r="Q4" s="2" t="inlineStr">
        <is>
          <t xml:space="preserve">Not assessed</t>
        </is>
      </c>
      <c r="R4" s="2" t="inlineStr">
        <is>
          <t xml:space="preserve">Unclassified</t>
        </is>
      </c>
      <c r="S4" s="2" t="inlineStr">
        <is>
          <t xml:space="preserve">Not started</t>
        </is>
      </c>
    </row>
    <row r="5">
      <c r="A5" s="2" t="inlineStr">
        <is>
          <t xml:space="preserve">DASH-004</t>
        </is>
      </c>
      <c r="B5" s="2" t="inlineStr">
        <is>
          <t xml:space="preserve">Dashboard</t>
        </is>
      </c>
      <c r="C5" s="2" t="inlineStr">
        <is>
          <t xml:space="preserve">Dashboard › Segregation of Duties card</t>
        </is>
      </c>
      <c r="D5" s="2" t="inlineStr">
        <is>
          <t xml:space="preserve">Distinct loading, failed, unavailable and ready states; counts open the matching SoD view.</t>
        </is>
      </c>
      <c r="E5" s="2" t="inlineStr">
        <is>
          <t xml:space="preserve">Not set</t>
        </is>
      </c>
      <c r="F5" s="2" t="inlineStr">
        <is>
          <t xml:space="preserve">Not tested</t>
        </is>
      </c>
      <c r="G5" s="2" t="inlineStr">
        <is>
          <t xml:space="preserve">Pending</t>
        </is>
      </c>
      <c r="H5" s="2" t="inlineStr">
        <is>
          <t xml:space="preserve"/>
        </is>
      </c>
      <c r="I5" s="2" t="inlineStr">
        <is>
          <t xml:space="preserve"/>
        </is>
      </c>
      <c r="J5" s="2" t="inlineStr">
        <is>
          <t xml:space="preserve"/>
        </is>
      </c>
      <c r="K5" s="2" t="inlineStr">
        <is>
          <t xml:space="preserve"/>
        </is>
      </c>
      <c r="L5" s="2" t="inlineStr">
        <is>
          <t xml:space="preserve"/>
        </is>
      </c>
      <c r="M5" s="2" t="inlineStr">
        <is>
          <t xml:space="preserve"/>
        </is>
      </c>
      <c r="N5" s="2" t="inlineStr">
        <is>
          <t xml:space="preserve"/>
        </is>
      </c>
      <c r="O5" s="2" t="inlineStr">
        <is>
          <t xml:space="preserve"/>
        </is>
      </c>
      <c r="P5" s="2" t="inlineStr">
        <is>
          <t xml:space="preserve">docs/features/DASHBOARD.md; frontend/tests/sod-dashboard-startup.spec.ts, frontend/tests/sod-overview-heatmap.spec.ts</t>
        </is>
      </c>
      <c r="Q5" s="2" t="inlineStr">
        <is>
          <t xml:space="preserve">Not assessed</t>
        </is>
      </c>
      <c r="R5" s="2" t="inlineStr">
        <is>
          <t xml:space="preserve">Unclassified</t>
        </is>
      </c>
      <c r="S5" s="2" t="inlineStr">
        <is>
          <t xml:space="preserve">Not started</t>
        </is>
      </c>
    </row>
    <row r="6">
      <c r="A6" s="2" t="inlineStr">
        <is>
          <t xml:space="preserve">DASH-005</t>
        </is>
      </c>
      <c r="B6" s="2" t="inlineStr">
        <is>
          <t xml:space="preserve">Dashboard</t>
        </is>
      </c>
      <c r="C6" s="2" t="inlineStr">
        <is>
          <t xml:space="preserve">Dashboard › Data Sources &amp; Configuration</t>
        </is>
      </c>
      <c r="D6" s="2" t="inlineStr">
        <is>
          <t xml:space="preserve">Source cards report Ready, Loading, Refreshing and Failed honestly and link to their settings.</t>
        </is>
      </c>
      <c r="E6" s="2" t="inlineStr">
        <is>
          <t xml:space="preserve">Not set</t>
        </is>
      </c>
      <c r="F6" s="2" t="inlineStr">
        <is>
          <t xml:space="preserve">Not tested</t>
        </is>
      </c>
      <c r="G6" s="2" t="inlineStr">
        <is>
          <t xml:space="preserve">Pending</t>
        </is>
      </c>
      <c r="H6" s="2" t="inlineStr">
        <is>
          <t xml:space="preserve"/>
        </is>
      </c>
      <c r="I6" s="2" t="inlineStr">
        <is>
          <t xml:space="preserve"/>
        </is>
      </c>
      <c r="J6" s="2" t="inlineStr">
        <is>
          <t xml:space="preserve"/>
        </is>
      </c>
      <c r="K6" s="2" t="inlineStr">
        <is>
          <t xml:space="preserve"/>
        </is>
      </c>
      <c r="L6" s="2" t="inlineStr">
        <is>
          <t xml:space="preserve"/>
        </is>
      </c>
      <c r="M6" s="2" t="inlineStr">
        <is>
          <t xml:space="preserve"/>
        </is>
      </c>
      <c r="N6" s="2" t="inlineStr">
        <is>
          <t xml:space="preserve"/>
        </is>
      </c>
      <c r="O6" s="2" t="inlineStr">
        <is>
          <t xml:space="preserve"/>
        </is>
      </c>
      <c r="P6" s="2" t="inlineStr">
        <is>
          <t xml:space="preserve">docs/features/DASHBOARD.md; frontend/tests/startup-reliability.spec.ts</t>
        </is>
      </c>
      <c r="Q6" s="2" t="inlineStr">
        <is>
          <t xml:space="preserve">Not assessed</t>
        </is>
      </c>
      <c r="R6" s="2" t="inlineStr">
        <is>
          <t xml:space="preserve">Unclassified</t>
        </is>
      </c>
      <c r="S6" s="2" t="inlineStr">
        <is>
          <t xml:space="preserve">Not started</t>
        </is>
      </c>
    </row>
    <row r="7">
      <c r="A7" s="2" t="inlineStr">
        <is>
          <t xml:space="preserve">DASH-006</t>
        </is>
      </c>
      <c r="B7" s="2" t="inlineStr">
        <is>
          <t xml:space="preserve">Dashboard</t>
        </is>
      </c>
      <c r="C7" s="2" t="inlineStr">
        <is>
          <t xml:space="preserve">Dashboard › Assignment Distribution</t>
        </is>
      </c>
      <c r="D7" s="2" t="inlineStr">
        <is>
          <t xml:space="preserve">Five ranges (0-5, 6-10, 11-20, 21-30, 31+) over every SAP user with shares and a drilldown to User Access.</t>
        </is>
      </c>
      <c r="E7" s="2" t="inlineStr">
        <is>
          <t xml:space="preserve">Not set</t>
        </is>
      </c>
      <c r="F7" s="2" t="inlineStr">
        <is>
          <t xml:space="preserve">Not tested</t>
        </is>
      </c>
      <c r="G7" s="2" t="inlineStr">
        <is>
          <t xml:space="preserve">Pending</t>
        </is>
      </c>
      <c r="H7" s="2" t="inlineStr">
        <is>
          <t xml:space="preserve"/>
        </is>
      </c>
      <c r="I7" s="2" t="inlineStr">
        <is>
          <t xml:space="preserve"/>
        </is>
      </c>
      <c r="J7" s="2" t="inlineStr">
        <is>
          <t xml:space="preserve"/>
        </is>
      </c>
      <c r="K7" s="2" t="inlineStr">
        <is>
          <t xml:space="preserve"/>
        </is>
      </c>
      <c r="L7" s="2" t="inlineStr">
        <is>
          <t xml:space="preserve"/>
        </is>
      </c>
      <c r="M7" s="2" t="inlineStr">
        <is>
          <t xml:space="preserve"/>
        </is>
      </c>
      <c r="N7" s="2" t="inlineStr">
        <is>
          <t xml:space="preserve"/>
        </is>
      </c>
      <c r="O7" s="2" t="inlineStr">
        <is>
          <t xml:space="preserve"/>
        </is>
      </c>
      <c r="P7" s="2" t="inlineStr">
        <is>
          <t xml:space="preserve">docs/features/DASHBOARD.md; frontend/tests/refinement-round2.spec.ts</t>
        </is>
      </c>
      <c r="Q7" s="2" t="inlineStr">
        <is>
          <t xml:space="preserve">Not assessed</t>
        </is>
      </c>
      <c r="R7" s="2" t="inlineStr">
        <is>
          <t xml:space="preserve">Unclassified</t>
        </is>
      </c>
      <c r="S7" s="2" t="inlineStr">
        <is>
          <t xml:space="preserve">Not started</t>
        </is>
      </c>
    </row>
    <row r="8">
      <c r="A8" s="2" t="inlineStr">
        <is>
          <t xml:space="preserve">DASH-007</t>
        </is>
      </c>
      <c r="B8" s="2" t="inlineStr">
        <is>
          <t xml:space="preserve">Dashboard</t>
        </is>
      </c>
      <c r="C8" s="2" t="inlineStr">
        <is>
          <t xml:space="preserve">Dashboard › Role Distribution</t>
        </is>
      </c>
      <c r="D8" s="2" t="inlineStr">
        <is>
          <t xml:space="preserve">Five areas are listed and the rest open in a dialog; the grid never stretches.</t>
        </is>
      </c>
      <c r="E8" s="2" t="inlineStr">
        <is>
          <t xml:space="preserve">Not set</t>
        </is>
      </c>
      <c r="F8" s="2" t="inlineStr">
        <is>
          <t xml:space="preserve">Not tested</t>
        </is>
      </c>
      <c r="G8" s="2" t="inlineStr">
        <is>
          <t xml:space="preserve">Pending</t>
        </is>
      </c>
      <c r="H8" s="2" t="inlineStr">
        <is>
          <t xml:space="preserve"/>
        </is>
      </c>
      <c r="I8" s="2" t="inlineStr">
        <is>
          <t xml:space="preserve"/>
        </is>
      </c>
      <c r="J8" s="2" t="inlineStr">
        <is>
          <t xml:space="preserve"/>
        </is>
      </c>
      <c r="K8" s="2" t="inlineStr">
        <is>
          <t xml:space="preserve"/>
        </is>
      </c>
      <c r="L8" s="2" t="inlineStr">
        <is>
          <t xml:space="preserve"/>
        </is>
      </c>
      <c r="M8" s="2" t="inlineStr">
        <is>
          <t xml:space="preserve"/>
        </is>
      </c>
      <c r="N8" s="2" t="inlineStr">
        <is>
          <t xml:space="preserve"/>
        </is>
      </c>
      <c r="O8" s="2" t="inlineStr">
        <is>
          <t xml:space="preserve"/>
        </is>
      </c>
      <c r="P8" s="2" t="inlineStr">
        <is>
          <t xml:space="preserve">docs/features/DASHBOARD.md; frontend/tests/refinement-r2.spec.ts</t>
        </is>
      </c>
      <c r="Q8" s="2" t="inlineStr">
        <is>
          <t xml:space="preserve">Not assessed</t>
        </is>
      </c>
      <c r="R8" s="2" t="inlineStr">
        <is>
          <t xml:space="preserve">Unclassified</t>
        </is>
      </c>
      <c r="S8" s="2" t="inlineStr">
        <is>
          <t xml:space="preserve">Not started</t>
        </is>
      </c>
    </row>
    <row r="9">
      <c r="A9" s="2" t="inlineStr">
        <is>
          <t xml:space="preserve">DASH-008</t>
        </is>
      </c>
      <c r="B9" s="2" t="inlineStr">
        <is>
          <t xml:space="preserve">Dashboard</t>
        </is>
      </c>
      <c r="C9" s="2" t="inlineStr">
        <is>
          <t xml:space="preserve">Dashboard › Navigation and Back</t>
        </is>
      </c>
      <c r="D9" s="2" t="inlineStr">
        <is>
          <t xml:space="preserve">KPI and row links open filtered views and browser Back restores the Dashboard.</t>
        </is>
      </c>
      <c r="E9" s="2" t="inlineStr">
        <is>
          <t xml:space="preserve">Not set</t>
        </is>
      </c>
      <c r="F9" s="2" t="inlineStr">
        <is>
          <t xml:space="preserve">Not tested</t>
        </is>
      </c>
      <c r="G9" s="2" t="inlineStr">
        <is>
          <t xml:space="preserve">Pending</t>
        </is>
      </c>
      <c r="H9" s="2" t="inlineStr">
        <is>
          <t xml:space="preserve"/>
        </is>
      </c>
      <c r="I9" s="2" t="inlineStr">
        <is>
          <t xml:space="preserve"/>
        </is>
      </c>
      <c r="J9" s="2" t="inlineStr">
        <is>
          <t xml:space="preserve"/>
        </is>
      </c>
      <c r="K9" s="2" t="inlineStr">
        <is>
          <t xml:space="preserve"/>
        </is>
      </c>
      <c r="L9" s="2" t="inlineStr">
        <is>
          <t xml:space="preserve"/>
        </is>
      </c>
      <c r="M9" s="2" t="inlineStr">
        <is>
          <t xml:space="preserve"/>
        </is>
      </c>
      <c r="N9" s="2" t="inlineStr">
        <is>
          <t xml:space="preserve"/>
        </is>
      </c>
      <c r="O9" s="2" t="inlineStr">
        <is>
          <t xml:space="preserve"/>
        </is>
      </c>
      <c r="P9" s="2" t="inlineStr">
        <is>
          <t xml:space="preserve">docs/features/DASHBOARD.md; frontend/tests/dashboard-user-transactions.spec.ts</t>
        </is>
      </c>
      <c r="Q9" s="2" t="inlineStr">
        <is>
          <t xml:space="preserve">Not assessed</t>
        </is>
      </c>
      <c r="R9" s="2" t="inlineStr">
        <is>
          <t xml:space="preserve">Unclassified</t>
        </is>
      </c>
      <c r="S9" s="2" t="inlineStr">
        <is>
          <t xml:space="preserve">Not started</t>
        </is>
      </c>
    </row>
    <row r="10">
      <c r="A10" s="2" t="inlineStr">
        <is>
          <t xml:space="preserve">DASH-009</t>
        </is>
      </c>
      <c r="B10" s="2" t="inlineStr">
        <is>
          <t xml:space="preserve">Dashboard</t>
        </is>
      </c>
      <c r="C10" s="2" t="inlineStr">
        <is>
          <t xml:space="preserve">Dashboard › Layout</t>
        </is>
      </c>
      <c r="D10" s="2" t="inlineStr">
        <is>
          <t xml:space="preserve">Three columns on wide screens, two on tablet and one on mobile without stretched cards.</t>
        </is>
      </c>
      <c r="E10" s="2" t="inlineStr">
        <is>
          <t xml:space="preserve">Not set</t>
        </is>
      </c>
      <c r="F10" s="2" t="inlineStr">
        <is>
          <t xml:space="preserve">Not tested</t>
        </is>
      </c>
      <c r="G10" s="2" t="inlineStr">
        <is>
          <t xml:space="preserve">Pending</t>
        </is>
      </c>
      <c r="H10" s="2" t="inlineStr">
        <is>
          <t xml:space="preserve"/>
        </is>
      </c>
      <c r="I10" s="2" t="inlineStr">
        <is>
          <t xml:space="preserve"/>
        </is>
      </c>
      <c r="J10" s="2" t="inlineStr">
        <is>
          <t xml:space="preserve"/>
        </is>
      </c>
      <c r="K10" s="2" t="inlineStr">
        <is>
          <t xml:space="preserve"/>
        </is>
      </c>
      <c r="L10" s="2" t="inlineStr">
        <is>
          <t xml:space="preserve"/>
        </is>
      </c>
      <c r="M10" s="2" t="inlineStr">
        <is>
          <t xml:space="preserve"/>
        </is>
      </c>
      <c r="N10" s="2" t="inlineStr">
        <is>
          <t xml:space="preserve"/>
        </is>
      </c>
      <c r="O10" s="2" t="inlineStr">
        <is>
          <t xml:space="preserve"/>
        </is>
      </c>
      <c r="P10" s="2" t="inlineStr">
        <is>
          <t xml:space="preserve">docs/features/DASHBOARD.md; frontend/tests/refinement-completion.spec.ts</t>
        </is>
      </c>
      <c r="Q10" s="2" t="inlineStr">
        <is>
          <t xml:space="preserve">Not assessed</t>
        </is>
      </c>
      <c r="R10" s="2" t="inlineStr">
        <is>
          <t xml:space="preserve">Unclassified</t>
        </is>
      </c>
      <c r="S10" s="2" t="inlineStr">
        <is>
          <t xml:space="preserve">Not started</t>
        </is>
      </c>
    </row>
    <row r="11">
      <c r="A11" s="2" t="inlineStr">
        <is>
          <t xml:space="preserve">ROLE-001</t>
        </is>
      </c>
      <c r="B11" s="2" t="inlineStr">
        <is>
          <t xml:space="preserve">Role Lookup</t>
        </is>
      </c>
      <c r="C11" s="2" t="inlineStr">
        <is>
          <t xml:space="preserve">Role Lookup › Search</t>
        </is>
      </c>
      <c r="D11" s="2" t="inlineStr">
        <is>
          <t xml:space="preserve">Search by role name and description returns the expected roles and keeps results stable.</t>
        </is>
      </c>
      <c r="E11" s="2" t="inlineStr">
        <is>
          <t xml:space="preserve">Not set</t>
        </is>
      </c>
      <c r="F11" s="2" t="inlineStr">
        <is>
          <t xml:space="preserve">Not tested</t>
        </is>
      </c>
      <c r="G11" s="2" t="inlineStr">
        <is>
          <t xml:space="preserve">Pending</t>
        </is>
      </c>
      <c r="H11" s="2" t="inlineStr">
        <is>
          <t xml:space="preserve"/>
        </is>
      </c>
      <c r="I11" s="2" t="inlineStr">
        <is>
          <t xml:space="preserve"/>
        </is>
      </c>
      <c r="J11" s="2" t="inlineStr">
        <is>
          <t xml:space="preserve"/>
        </is>
      </c>
      <c r="K11" s="2" t="inlineStr">
        <is>
          <t xml:space="preserve"/>
        </is>
      </c>
      <c r="L11" s="2" t="inlineStr">
        <is>
          <t xml:space="preserve"/>
        </is>
      </c>
      <c r="M11" s="2" t="inlineStr">
        <is>
          <t xml:space="preserve"/>
        </is>
      </c>
      <c r="N11" s="2" t="inlineStr">
        <is>
          <t xml:space="preserve"/>
        </is>
      </c>
      <c r="O11" s="2" t="inlineStr">
        <is>
          <t xml:space="preserve"/>
        </is>
      </c>
      <c r="P11" s="2" t="inlineStr">
        <is>
          <t xml:space="preserve">docs/features/ROLE_LOOKUP.md; frontend/tests/live-filters-polish.spec.ts</t>
        </is>
      </c>
      <c r="Q11" s="2" t="inlineStr">
        <is>
          <t xml:space="preserve">Not assessed</t>
        </is>
      </c>
      <c r="R11" s="2" t="inlineStr">
        <is>
          <t xml:space="preserve">Unclassified</t>
        </is>
      </c>
      <c r="S11" s="2" t="inlineStr">
        <is>
          <t xml:space="preserve">Not started</t>
        </is>
      </c>
    </row>
    <row r="12">
      <c r="A12" s="2" t="inlineStr">
        <is>
          <t xml:space="preserve">ROLE-002</t>
        </is>
      </c>
      <c r="B12" s="2" t="inlineStr">
        <is>
          <t xml:space="preserve">Role Lookup</t>
        </is>
      </c>
      <c r="C12" s="2" t="inlineStr">
        <is>
          <t xml:space="preserve">Role Lookup › SAP area filters</t>
        </is>
      </c>
      <c r="D12" s="2" t="inlineStr">
        <is>
          <t xml:space="preserve">Module filters narrow roles by catalogue evidence only and never infer a module.</t>
        </is>
      </c>
      <c r="E12" s="2" t="inlineStr">
        <is>
          <t xml:space="preserve">Not set</t>
        </is>
      </c>
      <c r="F12" s="2" t="inlineStr">
        <is>
          <t xml:space="preserve">Not tested</t>
        </is>
      </c>
      <c r="G12" s="2" t="inlineStr">
        <is>
          <t xml:space="preserve">Pending</t>
        </is>
      </c>
      <c r="H12" s="2" t="inlineStr">
        <is>
          <t xml:space="preserve"/>
        </is>
      </c>
      <c r="I12" s="2" t="inlineStr">
        <is>
          <t xml:space="preserve"/>
        </is>
      </c>
      <c r="J12" s="2" t="inlineStr">
        <is>
          <t xml:space="preserve"/>
        </is>
      </c>
      <c r="K12" s="2" t="inlineStr">
        <is>
          <t xml:space="preserve"/>
        </is>
      </c>
      <c r="L12" s="2" t="inlineStr">
        <is>
          <t xml:space="preserve"/>
        </is>
      </c>
      <c r="M12" s="2" t="inlineStr">
        <is>
          <t xml:space="preserve"/>
        </is>
      </c>
      <c r="N12" s="2" t="inlineStr">
        <is>
          <t xml:space="preserve"/>
        </is>
      </c>
      <c r="O12" s="2" t="inlineStr">
        <is>
          <t xml:space="preserve"/>
        </is>
      </c>
      <c r="P12" s="2" t="inlineStr">
        <is>
          <t xml:space="preserve">docs/features/ROLE_LOOKUP.md; frontend/tests/consolidated-role-ui.spec.ts</t>
        </is>
      </c>
      <c r="Q12" s="2" t="inlineStr">
        <is>
          <t xml:space="preserve">Not assessed</t>
        </is>
      </c>
      <c r="R12" s="2" t="inlineStr">
        <is>
          <t xml:space="preserve">Unclassified</t>
        </is>
      </c>
      <c r="S12" s="2" t="inlineStr">
        <is>
          <t xml:space="preserve">Not started</t>
        </is>
      </c>
    </row>
    <row r="13">
      <c r="A13" s="2" t="inlineStr">
        <is>
          <t xml:space="preserve">ROLE-003</t>
        </is>
      </c>
      <c r="B13" s="2" t="inlineStr">
        <is>
          <t xml:space="preserve">Role Lookup</t>
        </is>
      </c>
      <c r="C13" s="2" t="inlineStr">
        <is>
          <t xml:space="preserve">Role Lookup › Transaction filter</t>
        </is>
      </c>
      <c r="D13" s="2" t="inlineStr">
        <is>
          <t xml:space="preserve">Include and exclude transaction codes match exactly and combine with the other filters.</t>
        </is>
      </c>
      <c r="E13" s="2" t="inlineStr">
        <is>
          <t xml:space="preserve">Not set</t>
        </is>
      </c>
      <c r="F13" s="2" t="inlineStr">
        <is>
          <t xml:space="preserve">Not tested</t>
        </is>
      </c>
      <c r="G13" s="2" t="inlineStr">
        <is>
          <t xml:space="preserve">Pending</t>
        </is>
      </c>
      <c r="H13" s="2" t="inlineStr">
        <is>
          <t xml:space="preserve"/>
        </is>
      </c>
      <c r="I13" s="2" t="inlineStr">
        <is>
          <t xml:space="preserve"/>
        </is>
      </c>
      <c r="J13" s="2" t="inlineStr">
        <is>
          <t xml:space="preserve"/>
        </is>
      </c>
      <c r="K13" s="2" t="inlineStr">
        <is>
          <t xml:space="preserve"/>
        </is>
      </c>
      <c r="L13" s="2" t="inlineStr">
        <is>
          <t xml:space="preserve"/>
        </is>
      </c>
      <c r="M13" s="2" t="inlineStr">
        <is>
          <t xml:space="preserve"/>
        </is>
      </c>
      <c r="N13" s="2" t="inlineStr">
        <is>
          <t xml:space="preserve"/>
        </is>
      </c>
      <c r="O13" s="2" t="inlineStr">
        <is>
          <t xml:space="preserve"/>
        </is>
      </c>
      <c r="P13" s="2" t="inlineStr">
        <is>
          <t xml:space="preserve">docs/features/ROLE_LOOKUP.md; frontend/tests/transaction-filter.spec.ts</t>
        </is>
      </c>
      <c r="Q13" s="2" t="inlineStr">
        <is>
          <t xml:space="preserve">Not assessed</t>
        </is>
      </c>
      <c r="R13" s="2" t="inlineStr">
        <is>
          <t xml:space="preserve">Unclassified</t>
        </is>
      </c>
      <c r="S13" s="2" t="inlineStr">
        <is>
          <t xml:space="preserve">Not started</t>
        </is>
      </c>
    </row>
    <row r="14">
      <c r="A14" s="2" t="inlineStr">
        <is>
          <t xml:space="preserve">ROLE-004</t>
        </is>
      </c>
      <c r="B14" s="2" t="inlineStr">
        <is>
          <t xml:space="preserve">Role Lookup</t>
        </is>
      </c>
      <c r="C14" s="2" t="inlineStr">
        <is>
          <t xml:space="preserve">Role Lookup › Role cards</t>
        </is>
      </c>
      <c r="D14" s="2" t="inlineStr">
        <is>
          <t xml:space="preserve">Cards align in independent columns with module badge, description, transactions count and actions.</t>
        </is>
      </c>
      <c r="E14" s="2" t="inlineStr">
        <is>
          <t xml:space="preserve">Not set</t>
        </is>
      </c>
      <c r="F14" s="2" t="inlineStr">
        <is>
          <t xml:space="preserve">Not tested</t>
        </is>
      </c>
      <c r="G14" s="2" t="inlineStr">
        <is>
          <t xml:space="preserve">Pending</t>
        </is>
      </c>
      <c r="H14" s="2" t="inlineStr">
        <is>
          <t xml:space="preserve"/>
        </is>
      </c>
      <c r="I14" s="2" t="inlineStr">
        <is>
          <t xml:space="preserve"/>
        </is>
      </c>
      <c r="J14" s="2" t="inlineStr">
        <is>
          <t xml:space="preserve"/>
        </is>
      </c>
      <c r="K14" s="2" t="inlineStr">
        <is>
          <t xml:space="preserve"/>
        </is>
      </c>
      <c r="L14" s="2" t="inlineStr">
        <is>
          <t xml:space="preserve"/>
        </is>
      </c>
      <c r="M14" s="2" t="inlineStr">
        <is>
          <t xml:space="preserve"/>
        </is>
      </c>
      <c r="N14" s="2" t="inlineStr">
        <is>
          <t xml:space="preserve"/>
        </is>
      </c>
      <c r="O14" s="2" t="inlineStr">
        <is>
          <t xml:space="preserve"/>
        </is>
      </c>
      <c r="P14" s="2" t="inlineStr">
        <is>
          <t xml:space="preserve">docs/features/ROLE_LOOKUP.md; frontend/tests/role-visuals.spec.ts</t>
        </is>
      </c>
      <c r="Q14" s="2" t="inlineStr">
        <is>
          <t xml:space="preserve">Not assessed</t>
        </is>
      </c>
      <c r="R14" s="2" t="inlineStr">
        <is>
          <t xml:space="preserve">Unclassified</t>
        </is>
      </c>
      <c r="S14" s="2" t="inlineStr">
        <is>
          <t xml:space="preserve">Not started</t>
        </is>
      </c>
    </row>
    <row r="15">
      <c r="A15" s="2" t="inlineStr">
        <is>
          <t xml:space="preserve">ROLE-005</t>
        </is>
      </c>
      <c r="B15" s="2" t="inlineStr">
        <is>
          <t xml:space="preserve">Role Lookup</t>
        </is>
      </c>
      <c r="C15" s="2" t="inlineStr">
        <is>
          <t xml:space="preserve">Role Lookup › Role details</t>
        </is>
      </c>
      <c r="D15" s="2" t="inlineStr">
        <is>
          <t xml:space="preserve">Details show composite and single roles with transaction evidence and keep long names visible.</t>
        </is>
      </c>
      <c r="E15" s="2" t="inlineStr">
        <is>
          <t xml:space="preserve">Not set</t>
        </is>
      </c>
      <c r="F15" s="2" t="inlineStr">
        <is>
          <t xml:space="preserve">Not tested</t>
        </is>
      </c>
      <c r="G15" s="2" t="inlineStr">
        <is>
          <t xml:space="preserve">Pending</t>
        </is>
      </c>
      <c r="H15" s="2" t="inlineStr">
        <is>
          <t xml:space="preserve"/>
        </is>
      </c>
      <c r="I15" s="2" t="inlineStr">
        <is>
          <t xml:space="preserve"/>
        </is>
      </c>
      <c r="J15" s="2" t="inlineStr">
        <is>
          <t xml:space="preserve"/>
        </is>
      </c>
      <c r="K15" s="2" t="inlineStr">
        <is>
          <t xml:space="preserve"/>
        </is>
      </c>
      <c r="L15" s="2" t="inlineStr">
        <is>
          <t xml:space="preserve"/>
        </is>
      </c>
      <c r="M15" s="2" t="inlineStr">
        <is>
          <t xml:space="preserve"/>
        </is>
      </c>
      <c r="N15" s="2" t="inlineStr">
        <is>
          <t xml:space="preserve"/>
        </is>
      </c>
      <c r="O15" s="2" t="inlineStr">
        <is>
          <t xml:space="preserve"/>
        </is>
      </c>
      <c r="P15" s="2" t="inlineStr">
        <is>
          <t xml:space="preserve">docs/features/ROLE_LOOKUP.md; frontend/tests/refinement-r2.spec.ts</t>
        </is>
      </c>
      <c r="Q15" s="2" t="inlineStr">
        <is>
          <t xml:space="preserve">Not assessed</t>
        </is>
      </c>
      <c r="R15" s="2" t="inlineStr">
        <is>
          <t xml:space="preserve">Unclassified</t>
        </is>
      </c>
      <c r="S15" s="2" t="inlineStr">
        <is>
          <t xml:space="preserve">Not started</t>
        </is>
      </c>
    </row>
    <row r="16">
      <c r="A16" s="2" t="inlineStr">
        <is>
          <t xml:space="preserve">ROLE-006</t>
        </is>
      </c>
      <c r="B16" s="2" t="inlineStr">
        <is>
          <t xml:space="preserve">Role Lookup</t>
        </is>
      </c>
      <c r="C16" s="2" t="inlineStr">
        <is>
          <t xml:space="preserve">Role Lookup › Comparison selection</t>
        </is>
      </c>
      <c r="D16" s="2" t="inlineStr">
        <is>
          <t xml:space="preserve">Selecting roles shows a selection bar with Compare now from two roles and Clear selection that never touches the package.</t>
        </is>
      </c>
      <c r="E16" s="2" t="inlineStr">
        <is>
          <t xml:space="preserve">Not set</t>
        </is>
      </c>
      <c r="F16" s="2" t="inlineStr">
        <is>
          <t xml:space="preserve">Not tested</t>
        </is>
      </c>
      <c r="G16" s="2" t="inlineStr">
        <is>
          <t xml:space="preserve">Pending</t>
        </is>
      </c>
      <c r="H16" s="2" t="inlineStr">
        <is>
          <t xml:space="preserve"/>
        </is>
      </c>
      <c r="I16" s="2" t="inlineStr">
        <is>
          <t xml:space="preserve"/>
        </is>
      </c>
      <c r="J16" s="2" t="inlineStr">
        <is>
          <t xml:space="preserve"/>
        </is>
      </c>
      <c r="K16" s="2" t="inlineStr">
        <is>
          <t xml:space="preserve"/>
        </is>
      </c>
      <c r="L16" s="2" t="inlineStr">
        <is>
          <t xml:space="preserve"/>
        </is>
      </c>
      <c r="M16" s="2" t="inlineStr">
        <is>
          <t xml:space="preserve"/>
        </is>
      </c>
      <c r="N16" s="2" t="inlineStr">
        <is>
          <t xml:space="preserve"/>
        </is>
      </c>
      <c r="O16" s="2" t="inlineStr">
        <is>
          <t xml:space="preserve"/>
        </is>
      </c>
      <c r="P16" s="2" t="inlineStr">
        <is>
          <t xml:space="preserve">docs/features/ROLE_LOOKUP.md; frontend/tests/access-package-r2.spec.ts</t>
        </is>
      </c>
      <c r="Q16" s="2" t="inlineStr">
        <is>
          <t xml:space="preserve">Not assessed</t>
        </is>
      </c>
      <c r="R16" s="2" t="inlineStr">
        <is>
          <t xml:space="preserve">Unclassified</t>
        </is>
      </c>
      <c r="S16" s="2" t="inlineStr">
        <is>
          <t xml:space="preserve">Not started</t>
        </is>
      </c>
    </row>
    <row r="17">
      <c r="A17" s="2" t="inlineStr">
        <is>
          <t xml:space="preserve">ROLE-007</t>
        </is>
      </c>
      <c r="B17" s="2" t="inlineStr">
        <is>
          <t xml:space="preserve">Role Lookup</t>
        </is>
      </c>
      <c r="C17" s="2" t="inlineStr">
        <is>
          <t xml:space="preserve">Role Lookup › Wildcard catalogue roles</t>
        </is>
      </c>
      <c r="D17" s="2" t="inlineStr">
        <is>
          <t xml:space="preserve">Wildcard catalogue stems match actual roles without being shown as exact.</t>
        </is>
      </c>
      <c r="E17" s="2" t="inlineStr">
        <is>
          <t xml:space="preserve">Not set</t>
        </is>
      </c>
      <c r="F17" s="2" t="inlineStr">
        <is>
          <t xml:space="preserve">Not tested</t>
        </is>
      </c>
      <c r="G17" s="2" t="inlineStr">
        <is>
          <t xml:space="preserve">Pending</t>
        </is>
      </c>
      <c r="H17" s="2" t="inlineStr">
        <is>
          <t xml:space="preserve"/>
        </is>
      </c>
      <c r="I17" s="2" t="inlineStr">
        <is>
          <t xml:space="preserve"/>
        </is>
      </c>
      <c r="J17" s="2" t="inlineStr">
        <is>
          <t xml:space="preserve"/>
        </is>
      </c>
      <c r="K17" s="2" t="inlineStr">
        <is>
          <t xml:space="preserve"/>
        </is>
      </c>
      <c r="L17" s="2" t="inlineStr">
        <is>
          <t xml:space="preserve"/>
        </is>
      </c>
      <c r="M17" s="2" t="inlineStr">
        <is>
          <t xml:space="preserve"/>
        </is>
      </c>
      <c r="N17" s="2" t="inlineStr">
        <is>
          <t xml:space="preserve"/>
        </is>
      </c>
      <c r="O17" s="2" t="inlineStr">
        <is>
          <t xml:space="preserve"/>
        </is>
      </c>
      <c r="P17" s="2" t="inlineStr">
        <is>
          <t xml:space="preserve">docs/features/ROLE_LOOKUP.md; frontend/tests/access-package.spec.ts</t>
        </is>
      </c>
      <c r="Q17" s="2" t="inlineStr">
        <is>
          <t xml:space="preserve">Not assessed</t>
        </is>
      </c>
      <c r="R17" s="2" t="inlineStr">
        <is>
          <t xml:space="preserve">Unclassified</t>
        </is>
      </c>
      <c r="S17" s="2" t="inlineStr">
        <is>
          <t xml:space="preserve">Not started</t>
        </is>
      </c>
    </row>
    <row r="18">
      <c r="A18" s="2" t="inlineStr">
        <is>
          <t xml:space="preserve">ROLE-008</t>
        </is>
      </c>
      <c r="B18" s="2" t="inlineStr">
        <is>
          <t xml:space="preserve">Role Lookup</t>
        </is>
      </c>
      <c r="C18" s="2" t="inlineStr">
        <is>
          <t xml:space="preserve">Role Lookup › Saved filters</t>
        </is>
      </c>
      <c r="D18" s="2" t="inlineStr">
        <is>
          <t xml:space="preserve">Role Lookup filters save, load, rename and delete.</t>
        </is>
      </c>
      <c r="E18" s="2" t="inlineStr">
        <is>
          <t xml:space="preserve">Not set</t>
        </is>
      </c>
      <c r="F18" s="2" t="inlineStr">
        <is>
          <t xml:space="preserve">Not tested</t>
        </is>
      </c>
      <c r="G18" s="2" t="inlineStr">
        <is>
          <t xml:space="preserve">Pending</t>
        </is>
      </c>
      <c r="H18" s="2" t="inlineStr">
        <is>
          <t xml:space="preserve"/>
        </is>
      </c>
      <c r="I18" s="2" t="inlineStr">
        <is>
          <t xml:space="preserve"/>
        </is>
      </c>
      <c r="J18" s="2" t="inlineStr">
        <is>
          <t xml:space="preserve"/>
        </is>
      </c>
      <c r="K18" s="2" t="inlineStr">
        <is>
          <t xml:space="preserve"/>
        </is>
      </c>
      <c r="L18" s="2" t="inlineStr">
        <is>
          <t xml:space="preserve"/>
        </is>
      </c>
      <c r="M18" s="2" t="inlineStr">
        <is>
          <t xml:space="preserve"/>
        </is>
      </c>
      <c r="N18" s="2" t="inlineStr">
        <is>
          <t xml:space="preserve"/>
        </is>
      </c>
      <c r="O18" s="2" t="inlineStr">
        <is>
          <t xml:space="preserve"/>
        </is>
      </c>
      <c r="P18" s="2" t="inlineStr">
        <is>
          <t xml:space="preserve">docs/features/SAVED_FILTERS.md; frontend/tests/saved-filter-migration.spec.ts</t>
        </is>
      </c>
      <c r="Q18" s="2" t="inlineStr">
        <is>
          <t xml:space="preserve">Not assessed</t>
        </is>
      </c>
      <c r="R18" s="2" t="inlineStr">
        <is>
          <t xml:space="preserve">Unclassified</t>
        </is>
      </c>
      <c r="S18" s="2" t="inlineStr">
        <is>
          <t xml:space="preserve">Not started</t>
        </is>
      </c>
    </row>
    <row r="19">
      <c r="A19" s="2" t="inlineStr">
        <is>
          <t xml:space="preserve">R8-01</t>
        </is>
      </c>
      <c r="B19" s="2" t="inlineStr">
        <is>
          <t xml:space="preserve">Role Lookup</t>
        </is>
      </c>
      <c r="C19" s="2" t="inlineStr">
        <is>
          <t xml:space="preserve">Role Lookup › Card header (module badge)</t>
        </is>
      </c>
      <c r="D19" s="2" t="inlineStr">
        <is>
          <t xml:space="preserve">The module pill, description and actions share one centered line of one height for every card; the description ends in an ellipsis when it does not fit (see R81-10); correct in both themes and at 320, 375, 800, 1280 and 1600 px.</t>
        </is>
      </c>
      <c r="E19" s="2" t="inlineStr">
        <is>
          <t xml:space="preserve">Medium</t>
        </is>
      </c>
      <c r="F19" s="2" t="inlineStr">
        <is>
          <t xml:space="preserve">Not tested</t>
        </is>
      </c>
      <c r="G19" s="2" t="inlineStr">
        <is>
          <t xml:space="preserve">Pending</t>
        </is>
      </c>
      <c r="H19" s="2" t="inlineStr">
        <is>
          <t xml:space="preserve">frontend/tests/r8-ui-polish.spec.ts</t>
        </is>
      </c>
      <c r="I19" s="2" t="inlineStr">
        <is>
          <t xml:space="preserve"/>
        </is>
      </c>
      <c r="J19" s="2" t="inlineStr">
        <is>
          <t xml:space="preserve"/>
        </is>
      </c>
      <c r="K19" s="2" t="inlineStr">
        <is>
          <t xml:space="preserve">Root cause: a later override centred the badge against the whole multiline description and let the actions wrap below it. Fixed with first-baseline alignment (R8 phase 1). Superseded in R8 addendum: the header no longer wraps; the full description is available on demand (R81-10).</t>
        </is>
      </c>
      <c r="L19" s="2" t="inlineStr">
        <is>
          <t xml:space="preserve"/>
        </is>
      </c>
      <c r="M19" s="2" t="inlineStr">
        <is>
          <t xml:space="preserve"/>
        </is>
      </c>
      <c r="N19" s="2" t="inlineStr">
        <is>
          <t xml:space="preserve">Look at long and short descriptions in both themes at 375, 800, 1280 and 1600 px.</t>
        </is>
      </c>
      <c r="O19" s="2" t="inlineStr">
        <is>
          <t xml:space="preserve"/>
        </is>
      </c>
      <c r="P19" s="2" t="inlineStr">
        <is>
          <t xml:space="preserve">frontend/src/styles/components.css; frontend/src/components/Shared/RoleEntry.tsx</t>
        </is>
      </c>
      <c r="Q19" s="2" t="inlineStr">
        <is>
          <t xml:space="preserve">Implemented</t>
        </is>
      </c>
      <c r="R19" s="2" t="inlineStr">
        <is>
          <t xml:space="preserve">Unclassified</t>
        </is>
      </c>
      <c r="S19" s="2" t="inlineStr">
        <is>
          <t xml:space="preserve">Not started</t>
        </is>
      </c>
    </row>
    <row r="20">
      <c r="A20" s="2" t="inlineStr">
        <is>
          <t xml:space="preserve">PKG-001</t>
        </is>
      </c>
      <c r="B20" s="2" t="inlineStr">
        <is>
          <t xml:space="preserve">Access Package</t>
        </is>
      </c>
      <c r="C20" s="2" t="inlineStr">
        <is>
          <t xml:space="preserve">Role Lookup and Release Roles › Add to package</t>
        </is>
      </c>
      <c r="D20" s="2" t="inlineStr">
        <is>
          <t xml:space="preserve">Roles can be added and removed from role cards, details and Release Roles; the package bar counts them.</t>
        </is>
      </c>
      <c r="E20" s="2" t="inlineStr">
        <is>
          <t xml:space="preserve">Not set</t>
        </is>
      </c>
      <c r="F20" s="2" t="inlineStr">
        <is>
          <t xml:space="preserve">Not tested</t>
        </is>
      </c>
      <c r="G20" s="2" t="inlineStr">
        <is>
          <t xml:space="preserve">Pending</t>
        </is>
      </c>
      <c r="H20" s="2" t="inlineStr">
        <is>
          <t xml:space="preserve"/>
        </is>
      </c>
      <c r="I20" s="2" t="inlineStr">
        <is>
          <t xml:space="preserve"/>
        </is>
      </c>
      <c r="J20" s="2" t="inlineStr">
        <is>
          <t xml:space="preserve"/>
        </is>
      </c>
      <c r="K20" s="2" t="inlineStr">
        <is>
          <t xml:space="preserve"/>
        </is>
      </c>
      <c r="L20" s="2" t="inlineStr">
        <is>
          <t xml:space="preserve"/>
        </is>
      </c>
      <c r="M20" s="2" t="inlineStr">
        <is>
          <t xml:space="preserve"/>
        </is>
      </c>
      <c r="N20" s="2" t="inlineStr">
        <is>
          <t xml:space="preserve"/>
        </is>
      </c>
      <c r="O20" s="2" t="inlineStr">
        <is>
          <t xml:space="preserve"/>
        </is>
      </c>
      <c r="P20" s="2" t="inlineStr">
        <is>
          <t xml:space="preserve">docs/features/ROLE_LOOKUP.md; frontend/tests/access-package.spec.ts</t>
        </is>
      </c>
      <c r="Q20" s="2" t="inlineStr">
        <is>
          <t xml:space="preserve">Not assessed</t>
        </is>
      </c>
      <c r="R20" s="2" t="inlineStr">
        <is>
          <t xml:space="preserve">Unclassified</t>
        </is>
      </c>
      <c r="S20" s="2" t="inlineStr">
        <is>
          <t xml:space="preserve">Not started</t>
        </is>
      </c>
    </row>
    <row r="21">
      <c r="A21" s="2" t="inlineStr">
        <is>
          <t xml:space="preserve">PKG-002</t>
        </is>
      </c>
      <c r="B21" s="2" t="inlineStr">
        <is>
          <t xml:space="preserve">Access Package</t>
        </is>
      </c>
      <c r="C21" s="2" t="inlineStr">
        <is>
          <t xml:space="preserve">Access Package panel › Suffix configuration</t>
        </is>
      </c>
      <c r="D21" s="2" t="inlineStr">
        <is>
          <t xml:space="preserve">Package default suffix and role-specific suffixes generate the proposed names; exact roles keep their name.</t>
        </is>
      </c>
      <c r="E21" s="2" t="inlineStr">
        <is>
          <t xml:space="preserve">Not set</t>
        </is>
      </c>
      <c r="F21" s="2" t="inlineStr">
        <is>
          <t xml:space="preserve">Not tested</t>
        </is>
      </c>
      <c r="G21" s="2" t="inlineStr">
        <is>
          <t xml:space="preserve">Pending</t>
        </is>
      </c>
      <c r="H21" s="2" t="inlineStr">
        <is>
          <t xml:space="preserve"/>
        </is>
      </c>
      <c r="I21" s="2" t="inlineStr">
        <is>
          <t xml:space="preserve"/>
        </is>
      </c>
      <c r="J21" s="2" t="inlineStr">
        <is>
          <t xml:space="preserve"/>
        </is>
      </c>
      <c r="K21" s="2" t="inlineStr">
        <is>
          <t xml:space="preserve"/>
        </is>
      </c>
      <c r="L21" s="2" t="inlineStr">
        <is>
          <t xml:space="preserve"/>
        </is>
      </c>
      <c r="M21" s="2" t="inlineStr">
        <is>
          <t xml:space="preserve"/>
        </is>
      </c>
      <c r="N21" s="2" t="inlineStr">
        <is>
          <t xml:space="preserve"/>
        </is>
      </c>
      <c r="O21" s="2" t="inlineStr">
        <is>
          <t xml:space="preserve"/>
        </is>
      </c>
      <c r="P21" s="2" t="inlineStr">
        <is>
          <t xml:space="preserve">docs/features/ROLE_LOOKUP.md; frontend/tests/access-package-r2.spec.ts</t>
        </is>
      </c>
      <c r="Q21" s="2" t="inlineStr">
        <is>
          <t xml:space="preserve">Not assessed</t>
        </is>
      </c>
      <c r="R21" s="2" t="inlineStr">
        <is>
          <t xml:space="preserve">Unclassified</t>
        </is>
      </c>
      <c r="S21" s="2" t="inlineStr">
        <is>
          <t xml:space="preserve">Not started</t>
        </is>
      </c>
    </row>
    <row r="22">
      <c r="A22" s="2" t="inlineStr">
        <is>
          <t xml:space="preserve">PKG-003</t>
        </is>
      </c>
      <c r="B22" s="2" t="inlineStr">
        <is>
          <t xml:space="preserve">Access Package</t>
        </is>
      </c>
      <c r="C22" s="2" t="inlineStr">
        <is>
          <t xml:space="preserve">Access Package panel › Suffix eligibility</t>
        </is>
      </c>
      <c r="D22" s="2" t="inlineStr">
        <is>
          <t xml:space="preserve">Only trailing-wildcard patterns or roles ending in a detected organizational suffix take a suffix.</t>
        </is>
      </c>
      <c r="E22" s="2" t="inlineStr">
        <is>
          <t xml:space="preserve">Not set</t>
        </is>
      </c>
      <c r="F22" s="2" t="inlineStr">
        <is>
          <t xml:space="preserve">Not tested</t>
        </is>
      </c>
      <c r="G22" s="2" t="inlineStr">
        <is>
          <t xml:space="preserve">Pending</t>
        </is>
      </c>
      <c r="H22" s="2" t="inlineStr">
        <is>
          <t xml:space="preserve"/>
        </is>
      </c>
      <c r="I22" s="2" t="inlineStr">
        <is>
          <t xml:space="preserve"/>
        </is>
      </c>
      <c r="J22" s="2" t="inlineStr">
        <is>
          <t xml:space="preserve"/>
        </is>
      </c>
      <c r="K22" s="2" t="inlineStr">
        <is>
          <t xml:space="preserve"/>
        </is>
      </c>
      <c r="L22" s="2" t="inlineStr">
        <is>
          <t xml:space="preserve"/>
        </is>
      </c>
      <c r="M22" s="2" t="inlineStr">
        <is>
          <t xml:space="preserve"/>
        </is>
      </c>
      <c r="N22" s="2" t="inlineStr">
        <is>
          <t xml:space="preserve"/>
        </is>
      </c>
      <c r="O22" s="2" t="inlineStr">
        <is>
          <t xml:space="preserve"/>
        </is>
      </c>
      <c r="P22" s="2" t="inlineStr">
        <is>
          <t xml:space="preserve">docs/features/ROLE_LOOKUP.md; frontend/tests/access-package-r2.spec.ts</t>
        </is>
      </c>
      <c r="Q22" s="2" t="inlineStr">
        <is>
          <t xml:space="preserve">Not assessed</t>
        </is>
      </c>
      <c r="R22" s="2" t="inlineStr">
        <is>
          <t xml:space="preserve">Unclassified</t>
        </is>
      </c>
      <c r="S22" s="2" t="inlineStr">
        <is>
          <t xml:space="preserve">Not started</t>
        </is>
      </c>
    </row>
    <row r="23">
      <c r="A23" s="2" t="inlineStr">
        <is>
          <t xml:space="preserve">PKG-004</t>
        </is>
      </c>
      <c r="B23" s="2" t="inlineStr">
        <is>
          <t xml:space="preserve">Access Package</t>
        </is>
      </c>
      <c r="C23" s="2" t="inlineStr">
        <is>
          <t xml:space="preserve">Access Package panel › Validation statuses</t>
        </is>
      </c>
      <c r="D23" s="2" t="inlineStr">
        <is>
          <t xml:space="preserve">Confirmed needs the exact name in imported roles or assignments; wildcard matches are Pattern match; unsupported valid names are Needs attention; invalid names never export.</t>
        </is>
      </c>
      <c r="E23" s="2" t="inlineStr">
        <is>
          <t xml:space="preserve">Not set</t>
        </is>
      </c>
      <c r="F23" s="2" t="inlineStr">
        <is>
          <t xml:space="preserve">Not tested</t>
        </is>
      </c>
      <c r="G23" s="2" t="inlineStr">
        <is>
          <t xml:space="preserve">Pending</t>
        </is>
      </c>
      <c r="H23" s="2" t="inlineStr">
        <is>
          <t xml:space="preserve"/>
        </is>
      </c>
      <c r="I23" s="2" t="inlineStr">
        <is>
          <t xml:space="preserve"/>
        </is>
      </c>
      <c r="J23" s="2" t="inlineStr">
        <is>
          <t xml:space="preserve"/>
        </is>
      </c>
      <c r="K23" s="2" t="inlineStr">
        <is>
          <t xml:space="preserve"/>
        </is>
      </c>
      <c r="L23" s="2" t="inlineStr">
        <is>
          <t xml:space="preserve"/>
        </is>
      </c>
      <c r="M23" s="2" t="inlineStr">
        <is>
          <t xml:space="preserve"/>
        </is>
      </c>
      <c r="N23" s="2" t="inlineStr">
        <is>
          <t xml:space="preserve"/>
        </is>
      </c>
      <c r="O23" s="2" t="inlineStr">
        <is>
          <t xml:space="preserve"/>
        </is>
      </c>
      <c r="P23" s="2" t="inlineStr">
        <is>
          <t xml:space="preserve">docs/features/ROLE_LOOKUP.md; frontend/tests/access-package.spec.ts, frontend/tests/access-package-r2.spec.ts</t>
        </is>
      </c>
      <c r="Q23" s="2" t="inlineStr">
        <is>
          <t xml:space="preserve">Not assessed</t>
        </is>
      </c>
      <c r="R23" s="2" t="inlineStr">
        <is>
          <t xml:space="preserve">Unclassified</t>
        </is>
      </c>
      <c r="S23" s="2" t="inlineStr">
        <is>
          <t xml:space="preserve">Not started</t>
        </is>
      </c>
    </row>
    <row r="24">
      <c r="A24" s="2" t="inlineStr">
        <is>
          <t xml:space="preserve">PKG-005</t>
        </is>
      </c>
      <c r="B24" s="2" t="inlineStr">
        <is>
          <t xml:space="preserve">Access Package</t>
        </is>
      </c>
      <c r="C24" s="2" t="inlineStr">
        <is>
          <t xml:space="preserve">Access Package panel › Clear selection and Clear package</t>
        </is>
      </c>
      <c r="D24" s="2" t="inlineStr">
        <is>
          <t xml:space="preserve">Clear selection clears only selected roles; Clear package confirms and clears only the package; neither looks enabled without a target.</t>
        </is>
      </c>
      <c r="E24" s="2" t="inlineStr">
        <is>
          <t xml:space="preserve">Not set</t>
        </is>
      </c>
      <c r="F24" s="2" t="inlineStr">
        <is>
          <t xml:space="preserve">Not tested</t>
        </is>
      </c>
      <c r="G24" s="2" t="inlineStr">
        <is>
          <t xml:space="preserve">Pending</t>
        </is>
      </c>
      <c r="H24" s="2" t="inlineStr">
        <is>
          <t xml:space="preserve"/>
        </is>
      </c>
      <c r="I24" s="2" t="inlineStr">
        <is>
          <t xml:space="preserve"/>
        </is>
      </c>
      <c r="J24" s="2" t="inlineStr">
        <is>
          <t xml:space="preserve"/>
        </is>
      </c>
      <c r="K24" s="2" t="inlineStr">
        <is>
          <t xml:space="preserve"/>
        </is>
      </c>
      <c r="L24" s="2" t="inlineStr">
        <is>
          <t xml:space="preserve"/>
        </is>
      </c>
      <c r="M24" s="2" t="inlineStr">
        <is>
          <t xml:space="preserve"/>
        </is>
      </c>
      <c r="N24" s="2" t="inlineStr">
        <is>
          <t xml:space="preserve"/>
        </is>
      </c>
      <c r="O24" s="2" t="inlineStr">
        <is>
          <t xml:space="preserve"/>
        </is>
      </c>
      <c r="P24" s="2" t="inlineStr">
        <is>
          <t xml:space="preserve">docs/features/ROLE_LOOKUP.md; frontend/tests/access-package-r2.spec.ts</t>
        </is>
      </c>
      <c r="Q24" s="2" t="inlineStr">
        <is>
          <t xml:space="preserve">Not assessed</t>
        </is>
      </c>
      <c r="R24" s="2" t="inlineStr">
        <is>
          <t xml:space="preserve">Unclassified</t>
        </is>
      </c>
      <c r="S24" s="2" t="inlineStr">
        <is>
          <t xml:space="preserve">Not started</t>
        </is>
      </c>
    </row>
    <row r="25">
      <c r="A25" s="2" t="inlineStr">
        <is>
          <t xml:space="preserve">PKG-006</t>
        </is>
      </c>
      <c r="B25" s="2" t="inlineStr">
        <is>
          <t xml:space="preserve">Access Package</t>
        </is>
      </c>
      <c r="C25" s="2" t="inlineStr">
        <is>
          <t xml:space="preserve">Access Package panel › Copy and CSV export</t>
        </is>
      </c>
      <c r="D25" s="2" t="inlineStr">
        <is>
          <t xml:space="preserve">Copy all names and Export CSV include the Validation column and respect the package contents.</t>
        </is>
      </c>
      <c r="E25" s="2" t="inlineStr">
        <is>
          <t xml:space="preserve">Not set</t>
        </is>
      </c>
      <c r="F25" s="2" t="inlineStr">
        <is>
          <t xml:space="preserve">Not tested</t>
        </is>
      </c>
      <c r="G25" s="2" t="inlineStr">
        <is>
          <t xml:space="preserve">Pending</t>
        </is>
      </c>
      <c r="H25" s="2" t="inlineStr">
        <is>
          <t xml:space="preserve"/>
        </is>
      </c>
      <c r="I25" s="2" t="inlineStr">
        <is>
          <t xml:space="preserve"/>
        </is>
      </c>
      <c r="J25" s="2" t="inlineStr">
        <is>
          <t xml:space="preserve"/>
        </is>
      </c>
      <c r="K25" s="2" t="inlineStr">
        <is>
          <t xml:space="preserve"/>
        </is>
      </c>
      <c r="L25" s="2" t="inlineStr">
        <is>
          <t xml:space="preserve"/>
        </is>
      </c>
      <c r="M25" s="2" t="inlineStr">
        <is>
          <t xml:space="preserve"/>
        </is>
      </c>
      <c r="N25" s="2" t="inlineStr">
        <is>
          <t xml:space="preserve"/>
        </is>
      </c>
      <c r="O25" s="2" t="inlineStr">
        <is>
          <t xml:space="preserve"/>
        </is>
      </c>
      <c r="P25" s="2" t="inlineStr">
        <is>
          <t xml:space="preserve">docs/features/ROLE_LOOKUP.md; frontend/tests/access-package.spec.ts</t>
        </is>
      </c>
      <c r="Q25" s="2" t="inlineStr">
        <is>
          <t xml:space="preserve">Not assessed</t>
        </is>
      </c>
      <c r="R25" s="2" t="inlineStr">
        <is>
          <t xml:space="preserve">Unclassified</t>
        </is>
      </c>
      <c r="S25" s="2" t="inlineStr">
        <is>
          <t xml:space="preserve">Not started</t>
        </is>
      </c>
    </row>
    <row r="26">
      <c r="A26" s="2" t="inlineStr">
        <is>
          <t xml:space="preserve">PKG-007</t>
        </is>
      </c>
      <c r="B26" s="2" t="inlineStr">
        <is>
          <t xml:space="preserve">Access Package</t>
        </is>
      </c>
      <c r="C26" s="2" t="inlineStr">
        <is>
          <t xml:space="preserve">Access Package panel › Package rows</t>
        </is>
      </c>
      <c r="D26" s="2" t="inlineStr">
        <is>
          <t xml:space="preserve">Rows show badge, description, one codeblock, suffix field and status compactly at 375 px.</t>
        </is>
      </c>
      <c r="E26" s="2" t="inlineStr">
        <is>
          <t xml:space="preserve">Not set</t>
        </is>
      </c>
      <c r="F26" s="2" t="inlineStr">
        <is>
          <t xml:space="preserve">Not tested</t>
        </is>
      </c>
      <c r="G26" s="2" t="inlineStr">
        <is>
          <t xml:space="preserve">Pending</t>
        </is>
      </c>
      <c r="H26" s="2" t="inlineStr">
        <is>
          <t xml:space="preserve"/>
        </is>
      </c>
      <c r="I26" s="2" t="inlineStr">
        <is>
          <t xml:space="preserve"/>
        </is>
      </c>
      <c r="J26" s="2" t="inlineStr">
        <is>
          <t xml:space="preserve"/>
        </is>
      </c>
      <c r="K26" s="2" t="inlineStr">
        <is>
          <t xml:space="preserve"/>
        </is>
      </c>
      <c r="L26" s="2" t="inlineStr">
        <is>
          <t xml:space="preserve"/>
        </is>
      </c>
      <c r="M26" s="2" t="inlineStr">
        <is>
          <t xml:space="preserve"/>
        </is>
      </c>
      <c r="N26" s="2" t="inlineStr">
        <is>
          <t xml:space="preserve"/>
        </is>
      </c>
      <c r="O26" s="2" t="inlineStr">
        <is>
          <t xml:space="preserve"/>
        </is>
      </c>
      <c r="P26" s="2" t="inlineStr">
        <is>
          <t xml:space="preserve">docs/features/ROLE_LOOKUP.md; frontend/tests/access-package-r2.spec.ts</t>
        </is>
      </c>
      <c r="Q26" s="2" t="inlineStr">
        <is>
          <t xml:space="preserve">Not assessed</t>
        </is>
      </c>
      <c r="R26" s="2" t="inlineStr">
        <is>
          <t xml:space="preserve">Unclassified</t>
        </is>
      </c>
      <c r="S26" s="2" t="inlineStr">
        <is>
          <t xml:space="preserve">Not started</t>
        </is>
      </c>
    </row>
    <row r="27">
      <c r="A27" s="2" t="inlineStr">
        <is>
          <t xml:space="preserve">PKG-008</t>
        </is>
      </c>
      <c r="B27" s="2" t="inlineStr">
        <is>
          <t xml:space="preserve">Access Package</t>
        </is>
      </c>
      <c r="C27" s="2" t="inlineStr">
        <is>
          <t xml:space="preserve">Access Package panel › Long role names</t>
        </is>
      </c>
      <c r="D27" s="2" t="inlineStr">
        <is>
          <t xml:space="preserve">Long generated names stay on one complete line (font scales in the narrow panel), never wrap or scroll, and copy exactly.</t>
        </is>
      </c>
      <c r="E27" s="2" t="inlineStr">
        <is>
          <t xml:space="preserve">Not set</t>
        </is>
      </c>
      <c r="F27" s="2" t="inlineStr">
        <is>
          <t xml:space="preserve">Not tested</t>
        </is>
      </c>
      <c r="G27" s="2" t="inlineStr">
        <is>
          <t xml:space="preserve">Pending</t>
        </is>
      </c>
      <c r="H27" s="2" t="inlineStr">
        <is>
          <t xml:space="preserve"/>
        </is>
      </c>
      <c r="I27" s="2" t="inlineStr">
        <is>
          <t xml:space="preserve"/>
        </is>
      </c>
      <c r="J27" s="2" t="inlineStr">
        <is>
          <t xml:space="preserve"/>
        </is>
      </c>
      <c r="K27" s="2" t="inlineStr">
        <is>
          <t xml:space="preserve"/>
        </is>
      </c>
      <c r="L27" s="2" t="inlineStr">
        <is>
          <t xml:space="preserve"/>
        </is>
      </c>
      <c r="M27" s="2" t="inlineStr">
        <is>
          <t xml:space="preserve"/>
        </is>
      </c>
      <c r="N27" s="2" t="inlineStr">
        <is>
          <t xml:space="preserve"/>
        </is>
      </c>
      <c r="O27" s="2" t="inlineStr">
        <is>
          <t xml:space="preserve"/>
        </is>
      </c>
      <c r="P27" s="2" t="inlineStr">
        <is>
          <t xml:space="preserve">docs/features/ROLE_LOOKUP.md; frontend/tests/access-package-r2.spec.ts</t>
        </is>
      </c>
      <c r="Q27" s="2" t="inlineStr">
        <is>
          <t xml:space="preserve">Not assessed</t>
        </is>
      </c>
      <c r="R27" s="2" t="inlineStr">
        <is>
          <t xml:space="preserve">Unclassified</t>
        </is>
      </c>
      <c r="S27" s="2" t="inlineStr">
        <is>
          <t xml:space="preserve">Not started</t>
        </is>
      </c>
    </row>
    <row r="28">
      <c r="A28" s="2" t="inlineStr">
        <is>
          <t xml:space="preserve">PKG-009</t>
        </is>
      </c>
      <c r="B28" s="2" t="inlineStr">
        <is>
          <t xml:space="preserve">Access Package</t>
        </is>
      </c>
      <c r="C28" s="2" t="inlineStr">
        <is>
          <t xml:space="preserve">Role Lookup and Release Roles › Floating bars on narrow screens</t>
        </is>
      </c>
      <c r="D28" s="2" t="inlineStr">
        <is>
          <t xml:space="preserve">The package and selection bars together leave most of a 375 px viewport usable.</t>
        </is>
      </c>
      <c r="E28" s="2" t="inlineStr">
        <is>
          <t xml:space="preserve">Low</t>
        </is>
      </c>
      <c r="F28" s="2" t="inlineStr">
        <is>
          <t xml:space="preserve">Needs improvement</t>
        </is>
      </c>
      <c r="G28" s="2" t="inlineStr">
        <is>
          <t xml:space="preserve">Pending</t>
        </is>
      </c>
      <c r="H28" s="2" t="inlineStr">
        <is>
          <t xml:space="preserve"/>
        </is>
      </c>
      <c r="I28" s="2" t="inlineStr">
        <is>
          <t xml:space="preserve"/>
        </is>
      </c>
      <c r="J28" s="2" t="inlineStr">
        <is>
          <t xml:space="preserve"/>
        </is>
      </c>
      <c r="K28" s="2" t="inlineStr">
        <is>
          <t xml:space="preserve">Round 4 visual QA at 375 px: the package bar wraps its two buttons onto separate lines and, with the selection bar, stacks to roughly a quarter of the viewport height.</t>
        </is>
      </c>
      <c r="L28" s="2" t="inlineStr">
        <is>
          <t xml:space="preserve"/>
        </is>
      </c>
      <c r="M28" s="2" t="inlineStr">
        <is>
          <t xml:space="preserve"/>
        </is>
      </c>
      <c r="N28" s="2" t="inlineStr">
        <is>
          <t xml:space="preserve"/>
        </is>
      </c>
      <c r="O28" s="2" t="inlineStr">
        <is>
          <t xml:space="preserve"/>
        </is>
      </c>
      <c r="P28" s="2" t="inlineStr">
        <is>
          <t xml:space="preserve">frontend/src/components/Shared/AccessPackageBar.tsx; docs/features/ROLE_LOOKUP.md</t>
        </is>
      </c>
      <c r="Q28" s="2" t="inlineStr">
        <is>
          <t xml:space="preserve">Not assessed</t>
        </is>
      </c>
      <c r="R28" s="2" t="inlineStr">
        <is>
          <t xml:space="preserve">Improvement opportunity</t>
        </is>
      </c>
      <c r="S28" s="2" t="inlineStr">
        <is>
          <t xml:space="preserve">Not started</t>
        </is>
      </c>
    </row>
    <row r="29">
      <c r="A29" s="2" t="inlineStr">
        <is>
          <t xml:space="preserve">UA-001</t>
        </is>
      </c>
      <c r="B29" s="2" t="inlineStr">
        <is>
          <t xml:space="preserve">User Directory</t>
        </is>
      </c>
      <c r="C29" s="2" t="inlineStr">
        <is>
          <t xml:space="preserve">User directory › User list and search</t>
        </is>
      </c>
      <c r="D29" s="2" t="inlineStr">
        <is>
          <t xml:space="preserve">SAP users list with group, roles and filters; search matches username and name.</t>
        </is>
      </c>
      <c r="E29" s="2" t="inlineStr">
        <is>
          <t xml:space="preserve">Not set</t>
        </is>
      </c>
      <c r="F29" s="2" t="inlineStr">
        <is>
          <t xml:space="preserve">Not tested</t>
        </is>
      </c>
      <c r="G29" s="2" t="inlineStr">
        <is>
          <t xml:space="preserve">Pending</t>
        </is>
      </c>
      <c r="H29" s="2" t="inlineStr">
        <is>
          <t xml:space="preserve"/>
        </is>
      </c>
      <c r="I29" s="2" t="inlineStr">
        <is>
          <t xml:space="preserve"/>
        </is>
      </c>
      <c r="J29" s="2" t="inlineStr">
        <is>
          <t xml:space="preserve"/>
        </is>
      </c>
      <c r="K29" s="2" t="inlineStr">
        <is>
          <t xml:space="preserve"/>
        </is>
      </c>
      <c r="L29" s="2" t="inlineStr">
        <is>
          <t xml:space="preserve"/>
        </is>
      </c>
      <c r="M29" s="2" t="inlineStr">
        <is>
          <t xml:space="preserve"/>
        </is>
      </c>
      <c r="N29" s="2" t="inlineStr">
        <is>
          <t xml:space="preserve"/>
        </is>
      </c>
      <c r="O29" s="2" t="inlineStr">
        <is>
          <t xml:space="preserve"/>
        </is>
      </c>
      <c r="P29" s="2" t="inlineStr">
        <is>
          <t xml:space="preserve">docs/features/USER_ACCESS.md; frontend/tests/investigation-ux.spec.ts</t>
        </is>
      </c>
      <c r="Q29" s="2" t="inlineStr">
        <is>
          <t xml:space="preserve">Not assessed</t>
        </is>
      </c>
      <c r="R29" s="2" t="inlineStr">
        <is>
          <t xml:space="preserve">Unclassified</t>
        </is>
      </c>
      <c r="S29" s="2" t="inlineStr">
        <is>
          <t xml:space="preserve">Not started</t>
        </is>
      </c>
    </row>
    <row r="30">
      <c r="A30" s="2" t="inlineStr">
        <is>
          <t xml:space="preserve">UA-002</t>
        </is>
      </c>
      <c r="B30" s="2" t="inlineStr">
        <is>
          <t xml:space="preserve">User Directory</t>
        </is>
      </c>
      <c r="C30" s="2" t="inlineStr">
        <is>
          <t xml:space="preserve">User detail › Assignments</t>
        </is>
      </c>
      <c r="D30" s="2" t="inlineStr">
        <is>
          <t xml:space="preserve">Assignments show role, validity, catalogue evidence and match status with source evidence.</t>
        </is>
      </c>
      <c r="E30" s="2" t="inlineStr">
        <is>
          <t xml:space="preserve">Not set</t>
        </is>
      </c>
      <c r="F30" s="2" t="inlineStr">
        <is>
          <t xml:space="preserve">Not tested</t>
        </is>
      </c>
      <c r="G30" s="2" t="inlineStr">
        <is>
          <t xml:space="preserve">Pending</t>
        </is>
      </c>
      <c r="H30" s="2" t="inlineStr">
        <is>
          <t xml:space="preserve"/>
        </is>
      </c>
      <c r="I30" s="2" t="inlineStr">
        <is>
          <t xml:space="preserve"/>
        </is>
      </c>
      <c r="J30" s="2" t="inlineStr">
        <is>
          <t xml:space="preserve"/>
        </is>
      </c>
      <c r="K30" s="2" t="inlineStr">
        <is>
          <t xml:space="preserve"/>
        </is>
      </c>
      <c r="L30" s="2" t="inlineStr">
        <is>
          <t xml:space="preserve"/>
        </is>
      </c>
      <c r="M30" s="2" t="inlineStr">
        <is>
          <t xml:space="preserve"/>
        </is>
      </c>
      <c r="N30" s="2" t="inlineStr">
        <is>
          <t xml:space="preserve"/>
        </is>
      </c>
      <c r="O30" s="2" t="inlineStr">
        <is>
          <t xml:space="preserve"/>
        </is>
      </c>
      <c r="P30" s="2" t="inlineStr">
        <is>
          <t xml:space="preserve">docs/features/USER_ACCESS.md; frontend/tests/access-investigation.spec.ts</t>
        </is>
      </c>
      <c r="Q30" s="2" t="inlineStr">
        <is>
          <t xml:space="preserve">Not assessed</t>
        </is>
      </c>
      <c r="R30" s="2" t="inlineStr">
        <is>
          <t xml:space="preserve">Unclassified</t>
        </is>
      </c>
      <c r="S30" s="2" t="inlineStr">
        <is>
          <t xml:space="preserve">Not started</t>
        </is>
      </c>
    </row>
    <row r="31">
      <c r="A31" s="2" t="inlineStr">
        <is>
          <t xml:space="preserve">UA-003</t>
        </is>
      </c>
      <c r="B31" s="2" t="inlineStr">
        <is>
          <t xml:space="preserve">User Directory</t>
        </is>
      </c>
      <c r="C31" s="2" t="inlineStr">
        <is>
          <t xml:space="preserve">User directory › Missing roles filter</t>
        </is>
      </c>
      <c r="D31" s="2" t="inlineStr">
        <is>
          <t xml:space="preserve">ANY and ALL semantics for missing roles behave as documented.</t>
        </is>
      </c>
      <c r="E31" s="2" t="inlineStr">
        <is>
          <t xml:space="preserve">Not set</t>
        </is>
      </c>
      <c r="F31" s="2" t="inlineStr">
        <is>
          <t xml:space="preserve">Not tested</t>
        </is>
      </c>
      <c r="G31" s="2" t="inlineStr">
        <is>
          <t xml:space="preserve">Pending</t>
        </is>
      </c>
      <c r="H31" s="2" t="inlineStr">
        <is>
          <t xml:space="preserve"/>
        </is>
      </c>
      <c r="I31" s="2" t="inlineStr">
        <is>
          <t xml:space="preserve"/>
        </is>
      </c>
      <c r="J31" s="2" t="inlineStr">
        <is>
          <t xml:space="preserve"/>
        </is>
      </c>
      <c r="K31" s="2" t="inlineStr">
        <is>
          <t xml:space="preserve"/>
        </is>
      </c>
      <c r="L31" s="2" t="inlineStr">
        <is>
          <t xml:space="preserve"/>
        </is>
      </c>
      <c r="M31" s="2" t="inlineStr">
        <is>
          <t xml:space="preserve"/>
        </is>
      </c>
      <c r="N31" s="2" t="inlineStr">
        <is>
          <t xml:space="preserve"/>
        </is>
      </c>
      <c r="O31" s="2" t="inlineStr">
        <is>
          <t xml:space="preserve"/>
        </is>
      </c>
      <c r="P31" s="2" t="inlineStr">
        <is>
          <t xml:space="preserve">docs/features/USER_ACCESS.md; frontend/tests/investigation-tools.spec.ts</t>
        </is>
      </c>
      <c r="Q31" s="2" t="inlineStr">
        <is>
          <t xml:space="preserve">Not assessed</t>
        </is>
      </c>
      <c r="R31" s="2" t="inlineStr">
        <is>
          <t xml:space="preserve">Unclassified</t>
        </is>
      </c>
      <c r="S31" s="2" t="inlineStr">
        <is>
          <t xml:space="preserve">Not started</t>
        </is>
      </c>
    </row>
    <row r="32">
      <c r="A32" s="2" t="inlineStr">
        <is>
          <t xml:space="preserve">UA-004</t>
        </is>
      </c>
      <c r="B32" s="2" t="inlineStr">
        <is>
          <t xml:space="preserve">User Directory</t>
        </is>
      </c>
      <c r="C32" s="2" t="inlineStr">
        <is>
          <t xml:space="preserve">User directory › Reverse transaction filter</t>
        </is>
      </c>
      <c r="D32" s="2" t="inlineStr">
        <is>
          <t xml:space="preserve">Users who have or lack transactions are found by exact transaction evidence.</t>
        </is>
      </c>
      <c r="E32" s="2" t="inlineStr">
        <is>
          <t xml:space="preserve">Not set</t>
        </is>
      </c>
      <c r="F32" s="2" t="inlineStr">
        <is>
          <t xml:space="preserve">Not tested</t>
        </is>
      </c>
      <c r="G32" s="2" t="inlineStr">
        <is>
          <t xml:space="preserve">Pending</t>
        </is>
      </c>
      <c r="H32" s="2" t="inlineStr">
        <is>
          <t xml:space="preserve"/>
        </is>
      </c>
      <c r="I32" s="2" t="inlineStr">
        <is>
          <t xml:space="preserve"/>
        </is>
      </c>
      <c r="J32" s="2" t="inlineStr">
        <is>
          <t xml:space="preserve"/>
        </is>
      </c>
      <c r="K32" s="2" t="inlineStr">
        <is>
          <t xml:space="preserve"/>
        </is>
      </c>
      <c r="L32" s="2" t="inlineStr">
        <is>
          <t xml:space="preserve"/>
        </is>
      </c>
      <c r="M32" s="2" t="inlineStr">
        <is>
          <t xml:space="preserve"/>
        </is>
      </c>
      <c r="N32" s="2" t="inlineStr">
        <is>
          <t xml:space="preserve"/>
        </is>
      </c>
      <c r="O32" s="2" t="inlineStr">
        <is>
          <t xml:space="preserve"/>
        </is>
      </c>
      <c r="P32" s="2" t="inlineStr">
        <is>
          <t xml:space="preserve">docs/features/USER_ACCESS.md; frontend/tests/transaction-filter.spec.ts</t>
        </is>
      </c>
      <c r="Q32" s="2" t="inlineStr">
        <is>
          <t xml:space="preserve">Not assessed</t>
        </is>
      </c>
      <c r="R32" s="2" t="inlineStr">
        <is>
          <t xml:space="preserve">Unclassified</t>
        </is>
      </c>
      <c r="S32" s="2" t="inlineStr">
        <is>
          <t xml:space="preserve">Not started</t>
        </is>
      </c>
    </row>
    <row r="33">
      <c r="A33" s="2" t="inlineStr">
        <is>
          <t xml:space="preserve">UA-005</t>
        </is>
      </c>
      <c r="B33" s="2" t="inlineStr">
        <is>
          <t xml:space="preserve">User Directory</t>
        </is>
      </c>
      <c r="C33" s="2" t="inlineStr">
        <is>
          <t xml:space="preserve">User directory › Assignment ranges</t>
        </is>
      </c>
      <c r="D33" s="2" t="inlineStr">
        <is>
          <t xml:space="preserve">Assignment range filter matches the Dashboard distribution.</t>
        </is>
      </c>
      <c r="E33" s="2" t="inlineStr">
        <is>
          <t xml:space="preserve">Not set</t>
        </is>
      </c>
      <c r="F33" s="2" t="inlineStr">
        <is>
          <t xml:space="preserve">Not tested</t>
        </is>
      </c>
      <c r="G33" s="2" t="inlineStr">
        <is>
          <t xml:space="preserve">Pending</t>
        </is>
      </c>
      <c r="H33" s="2" t="inlineStr">
        <is>
          <t xml:space="preserve"/>
        </is>
      </c>
      <c r="I33" s="2" t="inlineStr">
        <is>
          <t xml:space="preserve"/>
        </is>
      </c>
      <c r="J33" s="2" t="inlineStr">
        <is>
          <t xml:space="preserve"/>
        </is>
      </c>
      <c r="K33" s="2" t="inlineStr">
        <is>
          <t xml:space="preserve"/>
        </is>
      </c>
      <c r="L33" s="2" t="inlineStr">
        <is>
          <t xml:space="preserve"/>
        </is>
      </c>
      <c r="M33" s="2" t="inlineStr">
        <is>
          <t xml:space="preserve"/>
        </is>
      </c>
      <c r="N33" s="2" t="inlineStr">
        <is>
          <t xml:space="preserve"/>
        </is>
      </c>
      <c r="O33" s="2" t="inlineStr">
        <is>
          <t xml:space="preserve"/>
        </is>
      </c>
      <c r="P33" s="2" t="inlineStr">
        <is>
          <t xml:space="preserve">docs/features/USER_ACCESS.md; frontend/tests/refinement-round2.spec.ts</t>
        </is>
      </c>
      <c r="Q33" s="2" t="inlineStr">
        <is>
          <t xml:space="preserve">Not assessed</t>
        </is>
      </c>
      <c r="R33" s="2" t="inlineStr">
        <is>
          <t xml:space="preserve">Unclassified</t>
        </is>
      </c>
      <c r="S33" s="2" t="inlineStr">
        <is>
          <t xml:space="preserve">Not started</t>
        </is>
      </c>
    </row>
    <row r="34">
      <c r="A34" s="2" t="inlineStr">
        <is>
          <t xml:space="preserve">UA-006</t>
        </is>
      </c>
      <c r="B34" s="2" t="inlineStr">
        <is>
          <t xml:space="preserve">User Directory</t>
        </is>
      </c>
      <c r="C34" s="2" t="inlineStr">
        <is>
          <t xml:space="preserve">User detail › Expired and future assignments</t>
        </is>
      </c>
      <c r="D34" s="2" t="inlineStr">
        <is>
          <t xml:space="preserve">Expired, future and unknown validity are separated from active assignments.</t>
        </is>
      </c>
      <c r="E34" s="2" t="inlineStr">
        <is>
          <t xml:space="preserve">Not set</t>
        </is>
      </c>
      <c r="F34" s="2" t="inlineStr">
        <is>
          <t xml:space="preserve">Not tested</t>
        </is>
      </c>
      <c r="G34" s="2" t="inlineStr">
        <is>
          <t xml:space="preserve">Pending</t>
        </is>
      </c>
      <c r="H34" s="2" t="inlineStr">
        <is>
          <t xml:space="preserve"/>
        </is>
      </c>
      <c r="I34" s="2" t="inlineStr">
        <is>
          <t xml:space="preserve"/>
        </is>
      </c>
      <c r="J34" s="2" t="inlineStr">
        <is>
          <t xml:space="preserve"/>
        </is>
      </c>
      <c r="K34" s="2" t="inlineStr">
        <is>
          <t xml:space="preserve"/>
        </is>
      </c>
      <c r="L34" s="2" t="inlineStr">
        <is>
          <t xml:space="preserve"/>
        </is>
      </c>
      <c r="M34" s="2" t="inlineStr">
        <is>
          <t xml:space="preserve"/>
        </is>
      </c>
      <c r="N34" s="2" t="inlineStr">
        <is>
          <t xml:space="preserve"/>
        </is>
      </c>
      <c r="O34" s="2" t="inlineStr">
        <is>
          <t xml:space="preserve"/>
        </is>
      </c>
      <c r="P34" s="2" t="inlineStr">
        <is>
          <t xml:space="preserve">docs/features/USER_ACCESS.md; frontend/tests/access-investigation.spec.ts</t>
        </is>
      </c>
      <c r="Q34" s="2" t="inlineStr">
        <is>
          <t xml:space="preserve">Not assessed</t>
        </is>
      </c>
      <c r="R34" s="2" t="inlineStr">
        <is>
          <t xml:space="preserve">Unclassified</t>
        </is>
      </c>
      <c r="S34" s="2" t="inlineStr">
        <is>
          <t xml:space="preserve">Not started</t>
        </is>
      </c>
    </row>
    <row r="35">
      <c r="A35" s="2" t="inlineStr">
        <is>
          <t xml:space="preserve">UA-007</t>
        </is>
      </c>
      <c r="B35" s="2" t="inlineStr">
        <is>
          <t xml:space="preserve">User Directory</t>
        </is>
      </c>
      <c r="C35" s="2" t="inlineStr">
        <is>
          <t xml:space="preserve">User directory › Export</t>
        </is>
      </c>
      <c r="D35" s="2" t="inlineStr">
        <is>
          <t xml:space="preserve">CSV export respects the active filters and includes the expected evidence columns.</t>
        </is>
      </c>
      <c r="E35" s="2" t="inlineStr">
        <is>
          <t xml:space="preserve">Not set</t>
        </is>
      </c>
      <c r="F35" s="2" t="inlineStr">
        <is>
          <t xml:space="preserve">Not tested</t>
        </is>
      </c>
      <c r="G35" s="2" t="inlineStr">
        <is>
          <t xml:space="preserve">Pending</t>
        </is>
      </c>
      <c r="H35" s="2" t="inlineStr">
        <is>
          <t xml:space="preserve"/>
        </is>
      </c>
      <c r="I35" s="2" t="inlineStr">
        <is>
          <t xml:space="preserve"/>
        </is>
      </c>
      <c r="J35" s="2" t="inlineStr">
        <is>
          <t xml:space="preserve"/>
        </is>
      </c>
      <c r="K35" s="2" t="inlineStr">
        <is>
          <t xml:space="preserve"/>
        </is>
      </c>
      <c r="L35" s="2" t="inlineStr">
        <is>
          <t xml:space="preserve"/>
        </is>
      </c>
      <c r="M35" s="2" t="inlineStr">
        <is>
          <t xml:space="preserve"/>
        </is>
      </c>
      <c r="N35" s="2" t="inlineStr">
        <is>
          <t xml:space="preserve"/>
        </is>
      </c>
      <c r="O35" s="2" t="inlineStr">
        <is>
          <t xml:space="preserve"/>
        </is>
      </c>
      <c r="P35" s="2" t="inlineStr">
        <is>
          <t xml:space="preserve">docs/features/USER_ACCESS.md; frontend/tests/user-role-export.spec.ts</t>
        </is>
      </c>
      <c r="Q35" s="2" t="inlineStr">
        <is>
          <t xml:space="preserve">Not assessed</t>
        </is>
      </c>
      <c r="R35" s="2" t="inlineStr">
        <is>
          <t xml:space="preserve">Unclassified</t>
        </is>
      </c>
      <c r="S35" s="2" t="inlineStr">
        <is>
          <t xml:space="preserve">Not started</t>
        </is>
      </c>
    </row>
    <row r="36">
      <c r="A36" s="2" t="inlineStr">
        <is>
          <t xml:space="preserve">UA-008</t>
        </is>
      </c>
      <c r="B36" s="2" t="inlineStr">
        <is>
          <t xml:space="preserve">User Directory</t>
        </is>
      </c>
      <c r="C36" s="2" t="inlineStr">
        <is>
          <t xml:space="preserve">User detail › Return to previous user</t>
        </is>
      </c>
      <c r="D36" s="2" t="inlineStr">
        <is>
          <t xml:space="preserve">The manager card offers Return to previous user only after navigating from another user.</t>
        </is>
      </c>
      <c r="E36" s="2" t="inlineStr">
        <is>
          <t xml:space="preserve">Not set</t>
        </is>
      </c>
      <c r="F36" s="2" t="inlineStr">
        <is>
          <t xml:space="preserve">Not tested</t>
        </is>
      </c>
      <c r="G36" s="2" t="inlineStr">
        <is>
          <t xml:space="preserve">Pending</t>
        </is>
      </c>
      <c r="H36" s="2" t="inlineStr">
        <is>
          <t xml:space="preserve"/>
        </is>
      </c>
      <c r="I36" s="2" t="inlineStr">
        <is>
          <t xml:space="preserve"/>
        </is>
      </c>
      <c r="J36" s="2" t="inlineStr">
        <is>
          <t xml:space="preserve"/>
        </is>
      </c>
      <c r="K36" s="2" t="inlineStr">
        <is>
          <t xml:space="preserve"/>
        </is>
      </c>
      <c r="L36" s="2" t="inlineStr">
        <is>
          <t xml:space="preserve"/>
        </is>
      </c>
      <c r="M36" s="2" t="inlineStr">
        <is>
          <t xml:space="preserve"/>
        </is>
      </c>
      <c r="N36" s="2" t="inlineStr">
        <is>
          <t xml:space="preserve"/>
        </is>
      </c>
      <c r="O36" s="2" t="inlineStr">
        <is>
          <t xml:space="preserve"/>
        </is>
      </c>
      <c r="P36" s="2" t="inlineStr">
        <is>
          <t xml:space="preserve">docs/architecture/NAVIGATION.md; frontend/tests/employee-directory.spec.ts</t>
        </is>
      </c>
      <c r="Q36" s="2" t="inlineStr">
        <is>
          <t xml:space="preserve">Not assessed</t>
        </is>
      </c>
      <c r="R36" s="2" t="inlineStr">
        <is>
          <t xml:space="preserve">Unclassified</t>
        </is>
      </c>
      <c r="S36" s="2" t="inlineStr">
        <is>
          <t xml:space="preserve">Not started</t>
        </is>
      </c>
    </row>
    <row r="37">
      <c r="A37" s="2" t="inlineStr">
        <is>
          <t xml:space="preserve">UA-009</t>
        </is>
      </c>
      <c r="B37" s="2" t="inlineStr">
        <is>
          <t xml:space="preserve">User Directory</t>
        </is>
      </c>
      <c r="C37" s="2" t="inlineStr">
        <is>
          <t xml:space="preserve">User detail › Employee enrichment</t>
        </is>
      </c>
      <c r="D37" s="2" t="inlineStr">
        <is>
          <t xml:space="preserve">Manager relationships and directory fields appear only when the Employee Directory is enabled and matched.</t>
        </is>
      </c>
      <c r="E37" s="2" t="inlineStr">
        <is>
          <t xml:space="preserve">Not set</t>
        </is>
      </c>
      <c r="F37" s="2" t="inlineStr">
        <is>
          <t xml:space="preserve">Not tested</t>
        </is>
      </c>
      <c r="G37" s="2" t="inlineStr">
        <is>
          <t xml:space="preserve">Pending</t>
        </is>
      </c>
      <c r="H37" s="2" t="inlineStr">
        <is>
          <t xml:space="preserve"/>
        </is>
      </c>
      <c r="I37" s="2" t="inlineStr">
        <is>
          <t xml:space="preserve"/>
        </is>
      </c>
      <c r="J37" s="2" t="inlineStr">
        <is>
          <t xml:space="preserve"/>
        </is>
      </c>
      <c r="K37" s="2" t="inlineStr">
        <is>
          <t xml:space="preserve"/>
        </is>
      </c>
      <c r="L37" s="2" t="inlineStr">
        <is>
          <t xml:space="preserve"/>
        </is>
      </c>
      <c r="M37" s="2" t="inlineStr">
        <is>
          <t xml:space="preserve"/>
        </is>
      </c>
      <c r="N37" s="2" t="inlineStr">
        <is>
          <t xml:space="preserve"/>
        </is>
      </c>
      <c r="O37" s="2" t="inlineStr">
        <is>
          <t xml:space="preserve"/>
        </is>
      </c>
      <c r="P37" s="2" t="inlineStr">
        <is>
          <t xml:space="preserve">docs/data/EMPLOYEE_DIRECTORY.md; frontend/tests/employee-directory.spec.ts</t>
        </is>
      </c>
      <c r="Q37" s="2" t="inlineStr">
        <is>
          <t xml:space="preserve">Not assessed</t>
        </is>
      </c>
      <c r="R37" s="2" t="inlineStr">
        <is>
          <t xml:space="preserve">Unclassified</t>
        </is>
      </c>
      <c r="S37" s="2" t="inlineStr">
        <is>
          <t xml:space="preserve">Not started</t>
        </is>
      </c>
    </row>
    <row r="38">
      <c r="A38" s="2" t="inlineStr">
        <is>
          <t xml:space="preserve">AR-001</t>
        </is>
      </c>
      <c r="B38" s="2" t="inlineStr">
        <is>
          <t xml:space="preserve">Account Review</t>
        </is>
      </c>
      <c r="C38" s="2" t="inlineStr">
        <is>
          <t xml:space="preserve">Account Review › Progress section</t>
        </is>
      </c>
      <c r="D38" s="2" t="inlineStr">
        <is>
          <t xml:space="preserve">One compact panel (about one third of the width) shows the completion percentage, N of M SAP users reviewed, a visible progress bar and clickable completed and pending counts; outdated reviews count as pending.</t>
        </is>
      </c>
      <c r="E38" s="2" t="inlineStr">
        <is>
          <t xml:space="preserve">Not set</t>
        </is>
      </c>
      <c r="F38" s="2" t="inlineStr">
        <is>
          <t xml:space="preserve">Not tested</t>
        </is>
      </c>
      <c r="G38" s="2" t="inlineStr">
        <is>
          <t xml:space="preserve">Pending</t>
        </is>
      </c>
      <c r="H38" s="2" t="inlineStr">
        <is>
          <t xml:space="preserve"/>
        </is>
      </c>
      <c r="I38" s="2" t="inlineStr">
        <is>
          <t xml:space="preserve"/>
        </is>
      </c>
      <c r="J38" s="2" t="inlineStr">
        <is>
          <t xml:space="preserve"/>
        </is>
      </c>
      <c r="K38" s="2" t="inlineStr">
        <is>
          <t xml:space="preserve"/>
        </is>
      </c>
      <c r="L38" s="2" t="inlineStr">
        <is>
          <t xml:space="preserve"/>
        </is>
      </c>
      <c r="M38" s="2" t="inlineStr">
        <is>
          <t xml:space="preserve"/>
        </is>
      </c>
      <c r="N38" s="2" t="inlineStr">
        <is>
          <t xml:space="preserve"/>
        </is>
      </c>
      <c r="O38" s="2" t="inlineStr">
        <is>
          <t xml:space="preserve"/>
        </is>
      </c>
      <c r="P38" s="2" t="inlineStr">
        <is>
          <t xml:space="preserve">docs/features/ACCOUNT_REVIEW.md; frontend/tests/account-review-refinement.spec.ts</t>
        </is>
      </c>
      <c r="Q38" s="2" t="inlineStr">
        <is>
          <t xml:space="preserve">Not assessed</t>
        </is>
      </c>
      <c r="R38" s="2" t="inlineStr">
        <is>
          <t xml:space="preserve">Unclassified</t>
        </is>
      </c>
      <c r="S38" s="2" t="inlineStr">
        <is>
          <t xml:space="preserve">Not started</t>
        </is>
      </c>
    </row>
    <row r="39">
      <c r="A39" s="2" t="inlineStr">
        <is>
          <t xml:space="preserve">AR-002</t>
        </is>
      </c>
      <c r="B39" s="2" t="inlineStr">
        <is>
          <t xml:space="preserve">Account Review</t>
        </is>
      </c>
      <c r="C39" s="2" t="inlineStr">
        <is>
          <t xml:space="preserve">Account Review › Action KPIs</t>
        </is>
      </c>
      <c r="D39" s="2" t="inlineStr">
        <is>
          <t xml:space="preserve">The Review attention panel (about two thirds of the width, two columns, icons, right-aligned values) lists accounts requiring review, missing or ambiguous directory matches, position changes and outdated reviews plus a compact AD disabled / SAP valid and unlocked row; each applies its filter and they combine.</t>
        </is>
      </c>
      <c r="E39" s="2" t="inlineStr">
        <is>
          <t xml:space="preserve">Not set</t>
        </is>
      </c>
      <c r="F39" s="2" t="inlineStr">
        <is>
          <t xml:space="preserve">Not tested</t>
        </is>
      </c>
      <c r="G39" s="2" t="inlineStr">
        <is>
          <t xml:space="preserve">Pending</t>
        </is>
      </c>
      <c r="H39" s="2" t="inlineStr">
        <is>
          <t xml:space="preserve"/>
        </is>
      </c>
      <c r="I39" s="2" t="inlineStr">
        <is>
          <t xml:space="preserve"/>
        </is>
      </c>
      <c r="J39" s="2" t="inlineStr">
        <is>
          <t xml:space="preserve"/>
        </is>
      </c>
      <c r="K39" s="2" t="inlineStr">
        <is>
          <t xml:space="preserve"/>
        </is>
      </c>
      <c r="L39" s="2" t="inlineStr">
        <is>
          <t xml:space="preserve"/>
        </is>
      </c>
      <c r="M39" s="2" t="inlineStr">
        <is>
          <t xml:space="preserve"/>
        </is>
      </c>
      <c r="N39" s="2" t="inlineStr">
        <is>
          <t xml:space="preserve"/>
        </is>
      </c>
      <c r="O39" s="2" t="inlineStr">
        <is>
          <t xml:space="preserve"/>
        </is>
      </c>
      <c r="P39" s="2" t="inlineStr">
        <is>
          <t xml:space="preserve">docs/features/ACCOUNT_REVIEW.md; frontend/tests/account-review-refinement.spec.ts, frontend/tests/investigation-tools.spec.ts</t>
        </is>
      </c>
      <c r="Q39" s="2" t="inlineStr">
        <is>
          <t xml:space="preserve">Not assessed</t>
        </is>
      </c>
      <c r="R39" s="2" t="inlineStr">
        <is>
          <t xml:space="preserve">Unclassified</t>
        </is>
      </c>
      <c r="S39" s="2" t="inlineStr">
        <is>
          <t xml:space="preserve">Not started</t>
        </is>
      </c>
    </row>
    <row r="40">
      <c r="A40" s="2" t="inlineStr">
        <is>
          <t xml:space="preserve">AR-003</t>
        </is>
      </c>
      <c r="B40" s="2" t="inlineStr">
        <is>
          <t xml:space="preserve">Account Review</t>
        </is>
      </c>
      <c r="C40" s="2" t="inlineStr">
        <is>
          <t xml:space="preserve">Account Review › Filters</t>
        </is>
      </c>
      <c r="D40" s="2" t="inlineStr">
        <is>
          <t xml:space="preserve">Finding, license classification and decision filters are multi-select (OR within, AND between) with Saved Filters.</t>
        </is>
      </c>
      <c r="E40" s="2" t="inlineStr">
        <is>
          <t xml:space="preserve">Not set</t>
        </is>
      </c>
      <c r="F40" s="2" t="inlineStr">
        <is>
          <t xml:space="preserve">Not tested</t>
        </is>
      </c>
      <c r="G40" s="2" t="inlineStr">
        <is>
          <t xml:space="preserve">Pending</t>
        </is>
      </c>
      <c r="H40" s="2" t="inlineStr">
        <is>
          <t xml:space="preserve"/>
        </is>
      </c>
      <c r="I40" s="2" t="inlineStr">
        <is>
          <t xml:space="preserve"/>
        </is>
      </c>
      <c r="J40" s="2" t="inlineStr">
        <is>
          <t xml:space="preserve"/>
        </is>
      </c>
      <c r="K40" s="2" t="inlineStr">
        <is>
          <t xml:space="preserve"/>
        </is>
      </c>
      <c r="L40" s="2" t="inlineStr">
        <is>
          <t xml:space="preserve"/>
        </is>
      </c>
      <c r="M40" s="2" t="inlineStr">
        <is>
          <t xml:space="preserve"/>
        </is>
      </c>
      <c r="N40" s="2" t="inlineStr">
        <is>
          <t xml:space="preserve"/>
        </is>
      </c>
      <c r="O40" s="2" t="inlineStr">
        <is>
          <t xml:space="preserve"/>
        </is>
      </c>
      <c r="P40" s="2" t="inlineStr">
        <is>
          <t xml:space="preserve">docs/features/ACCOUNT_REVIEW.md; frontend/tests/investigation-filter-refinement.spec.ts</t>
        </is>
      </c>
      <c r="Q40" s="2" t="inlineStr">
        <is>
          <t xml:space="preserve">Not assessed</t>
        </is>
      </c>
      <c r="R40" s="2" t="inlineStr">
        <is>
          <t xml:space="preserve">Unclassified</t>
        </is>
      </c>
      <c r="S40" s="2" t="inlineStr">
        <is>
          <t xml:space="preserve">Not started</t>
        </is>
      </c>
    </row>
    <row r="41">
      <c r="A41" s="2" t="inlineStr">
        <is>
          <t xml:space="preserve">AR-004</t>
        </is>
      </c>
      <c r="B41" s="2" t="inlineStr">
        <is>
          <t xml:space="preserve">Account Review</t>
        </is>
      </c>
      <c r="C41" s="2" t="inlineStr">
        <is>
          <t xml:space="preserve">Account Review › Review dialog</t>
        </is>
      </c>
      <c r="D41" s="2" t="inlineStr">
        <is>
          <t xml:space="preserve">The dialog is limited to SAP identity, position changes, the decision and its history; decisions stay local annotations.</t>
        </is>
      </c>
      <c r="E41" s="2" t="inlineStr">
        <is>
          <t xml:space="preserve">Not set</t>
        </is>
      </c>
      <c r="F41" s="2" t="inlineStr">
        <is>
          <t xml:space="preserve">Not tested</t>
        </is>
      </c>
      <c r="G41" s="2" t="inlineStr">
        <is>
          <t xml:space="preserve">Pending</t>
        </is>
      </c>
      <c r="H41" s="2" t="inlineStr">
        <is>
          <t xml:space="preserve"/>
        </is>
      </c>
      <c r="I41" s="2" t="inlineStr">
        <is>
          <t xml:space="preserve"/>
        </is>
      </c>
      <c r="J41" s="2" t="inlineStr">
        <is>
          <t xml:space="preserve"/>
        </is>
      </c>
      <c r="K41" s="2" t="inlineStr">
        <is>
          <t xml:space="preserve"/>
        </is>
      </c>
      <c r="L41" s="2" t="inlineStr">
        <is>
          <t xml:space="preserve"/>
        </is>
      </c>
      <c r="M41" s="2" t="inlineStr">
        <is>
          <t xml:space="preserve"/>
        </is>
      </c>
      <c r="N41" s="2" t="inlineStr">
        <is>
          <t xml:space="preserve"/>
        </is>
      </c>
      <c r="O41" s="2" t="inlineStr">
        <is>
          <t xml:space="preserve"/>
        </is>
      </c>
      <c r="P41" s="2" t="inlineStr">
        <is>
          <t xml:space="preserve">docs/features/ACCOUNT_REVIEW.md; frontend/tests/account-review-refinement.spec.ts</t>
        </is>
      </c>
      <c r="Q41" s="2" t="inlineStr">
        <is>
          <t xml:space="preserve">Not assessed</t>
        </is>
      </c>
      <c r="R41" s="2" t="inlineStr">
        <is>
          <t xml:space="preserve">Unclassified</t>
        </is>
      </c>
      <c r="S41" s="2" t="inlineStr">
        <is>
          <t xml:space="preserve">Not started</t>
        </is>
      </c>
    </row>
    <row r="42">
      <c r="A42" s="2" t="inlineStr">
        <is>
          <t xml:space="preserve">AR-005</t>
        </is>
      </c>
      <c r="B42" s="2" t="inlineStr">
        <is>
          <t xml:space="preserve">Account Review</t>
        </is>
      </c>
      <c r="C42" s="2" t="inlineStr">
        <is>
          <t xml:space="preserve">Account Review › Position changes</t>
        </is>
      </c>
      <c r="D42" s="2" t="inlineStr">
        <is>
          <t xml:space="preserve">Department and job title changes appear side by side with directory snapshot evidence; manager-only changes never count.</t>
        </is>
      </c>
      <c r="E42" s="2" t="inlineStr">
        <is>
          <t xml:space="preserve">Not set</t>
        </is>
      </c>
      <c r="F42" s="2" t="inlineStr">
        <is>
          <t xml:space="preserve">Not tested</t>
        </is>
      </c>
      <c r="G42" s="2" t="inlineStr">
        <is>
          <t xml:space="preserve">Pending</t>
        </is>
      </c>
      <c r="H42" s="2" t="inlineStr">
        <is>
          <t xml:space="preserve"/>
        </is>
      </c>
      <c r="I42" s="2" t="inlineStr">
        <is>
          <t xml:space="preserve"/>
        </is>
      </c>
      <c r="J42" s="2" t="inlineStr">
        <is>
          <t xml:space="preserve"/>
        </is>
      </c>
      <c r="K42" s="2" t="inlineStr">
        <is>
          <t xml:space="preserve"/>
        </is>
      </c>
      <c r="L42" s="2" t="inlineStr">
        <is>
          <t xml:space="preserve"/>
        </is>
      </c>
      <c r="M42" s="2" t="inlineStr">
        <is>
          <t xml:space="preserve"/>
        </is>
      </c>
      <c r="N42" s="2" t="inlineStr">
        <is>
          <t xml:space="preserve"/>
        </is>
      </c>
      <c r="O42" s="2" t="inlineStr">
        <is>
          <t xml:space="preserve"/>
        </is>
      </c>
      <c r="P42" s="2" t="inlineStr">
        <is>
          <t xml:space="preserve">docs/features/ACCOUNT_REVIEW.md; frontend/tests/position-changes.spec.ts</t>
        </is>
      </c>
      <c r="Q42" s="2" t="inlineStr">
        <is>
          <t xml:space="preserve">Not assessed</t>
        </is>
      </c>
      <c r="R42" s="2" t="inlineStr">
        <is>
          <t xml:space="preserve">Unclassified</t>
        </is>
      </c>
      <c r="S42" s="2" t="inlineStr">
        <is>
          <t xml:space="preserve">Not started</t>
        </is>
      </c>
    </row>
    <row r="43">
      <c r="A43" s="2" t="inlineStr">
        <is>
          <t xml:space="preserve">AR-006</t>
        </is>
      </c>
      <c r="B43" s="2" t="inlineStr">
        <is>
          <t xml:space="preserve">Account Review</t>
        </is>
      </c>
      <c r="C43" s="2" t="inlineStr">
        <is>
          <t xml:space="preserve">Account Review › CSV export</t>
        </is>
      </c>
      <c r="D43" s="2" t="inlineStr">
        <is>
          <t xml:space="preserve">Export includes evidence versions and the active filter scope.</t>
        </is>
      </c>
      <c r="E43" s="2" t="inlineStr">
        <is>
          <t xml:space="preserve">Not set</t>
        </is>
      </c>
      <c r="F43" s="2" t="inlineStr">
        <is>
          <t xml:space="preserve">Not tested</t>
        </is>
      </c>
      <c r="G43" s="2" t="inlineStr">
        <is>
          <t xml:space="preserve">Pending</t>
        </is>
      </c>
      <c r="H43" s="2" t="inlineStr">
        <is>
          <t xml:space="preserve"/>
        </is>
      </c>
      <c r="I43" s="2" t="inlineStr">
        <is>
          <t xml:space="preserve"/>
        </is>
      </c>
      <c r="J43" s="2" t="inlineStr">
        <is>
          <t xml:space="preserve"/>
        </is>
      </c>
      <c r="K43" s="2" t="inlineStr">
        <is>
          <t xml:space="preserve"/>
        </is>
      </c>
      <c r="L43" s="2" t="inlineStr">
        <is>
          <t xml:space="preserve"/>
        </is>
      </c>
      <c r="M43" s="2" t="inlineStr">
        <is>
          <t xml:space="preserve"/>
        </is>
      </c>
      <c r="N43" s="2" t="inlineStr">
        <is>
          <t xml:space="preserve"/>
        </is>
      </c>
      <c r="O43" s="2" t="inlineStr">
        <is>
          <t xml:space="preserve"/>
        </is>
      </c>
      <c r="P43" s="2" t="inlineStr">
        <is>
          <t xml:space="preserve">docs/features/ACCOUNT_REVIEW.md; frontend/tests/investigation-tools.spec.ts</t>
        </is>
      </c>
      <c r="Q43" s="2" t="inlineStr">
        <is>
          <t xml:space="preserve">Not assessed</t>
        </is>
      </c>
      <c r="R43" s="2" t="inlineStr">
        <is>
          <t xml:space="preserve">Unclassified</t>
        </is>
      </c>
      <c r="S43" s="2" t="inlineStr">
        <is>
          <t xml:space="preserve">Not started</t>
        </is>
      </c>
    </row>
    <row r="44">
      <c r="A44" s="2" t="inlineStr">
        <is>
          <t xml:space="preserve">AR-007</t>
        </is>
      </c>
      <c r="B44" s="2" t="inlineStr">
        <is>
          <t xml:space="preserve">Account Review</t>
        </is>
      </c>
      <c r="C44" s="2" t="inlineStr">
        <is>
          <t xml:space="preserve">Account Review › Directory unavailable</t>
        </is>
      </c>
      <c r="D44" s="2" t="inlineStr">
        <is>
          <t xml:space="preserve">Without an Employee Directory the page says so, keeps SAP-only review available and does not invent matches.</t>
        </is>
      </c>
      <c r="E44" s="2" t="inlineStr">
        <is>
          <t xml:space="preserve">Not set</t>
        </is>
      </c>
      <c r="F44" s="2" t="inlineStr">
        <is>
          <t xml:space="preserve">Not tested</t>
        </is>
      </c>
      <c r="G44" s="2" t="inlineStr">
        <is>
          <t xml:space="preserve">Pending</t>
        </is>
      </c>
      <c r="H44" s="2" t="inlineStr">
        <is>
          <t xml:space="preserve"/>
        </is>
      </c>
      <c r="I44" s="2" t="inlineStr">
        <is>
          <t xml:space="preserve"/>
        </is>
      </c>
      <c r="J44" s="2" t="inlineStr">
        <is>
          <t xml:space="preserve"/>
        </is>
      </c>
      <c r="K44" s="2" t="inlineStr">
        <is>
          <t xml:space="preserve"/>
        </is>
      </c>
      <c r="L44" s="2" t="inlineStr">
        <is>
          <t xml:space="preserve"/>
        </is>
      </c>
      <c r="M44" s="2" t="inlineStr">
        <is>
          <t xml:space="preserve"/>
        </is>
      </c>
      <c r="N44" s="2" t="inlineStr">
        <is>
          <t xml:space="preserve"/>
        </is>
      </c>
      <c r="O44" s="2" t="inlineStr">
        <is>
          <t xml:space="preserve"/>
        </is>
      </c>
      <c r="P44" s="2" t="inlineStr">
        <is>
          <t xml:space="preserve">docs/features/ACCOUNT_REVIEW.md; frontend/tests/account-review-refinement.spec.ts</t>
        </is>
      </c>
      <c r="Q44" s="2" t="inlineStr">
        <is>
          <t xml:space="preserve">Not assessed</t>
        </is>
      </c>
      <c r="R44" s="2" t="inlineStr">
        <is>
          <t xml:space="preserve">Unclassified</t>
        </is>
      </c>
      <c r="S44" s="2" t="inlineStr">
        <is>
          <t xml:space="preserve">Not started</t>
        </is>
      </c>
    </row>
    <row r="45">
      <c r="A45" s="2" t="inlineStr">
        <is>
          <t xml:space="preserve">AR-008</t>
        </is>
      </c>
      <c r="B45" s="2" t="inlineStr">
        <is>
          <t xml:space="preserve">Account Review</t>
        </is>
      </c>
      <c r="C45" s="2" t="inlineStr">
        <is>
          <t xml:space="preserve">Account Review › Progress and attention layout (R6 correction)</t>
        </is>
      </c>
      <c r="D45" s="2" t="inlineStr">
        <is>
          <t xml:space="preserve">Review progress (about 1/3) and Review attention (about 2/3) share one aligned row without a separate row of five oversized KPI cards; the table starts within the first screen; the investigation notice is an accessible information button; panels stack on narrow screens.</t>
        </is>
      </c>
      <c r="E45" s="2" t="inlineStr">
        <is>
          <t xml:space="preserve">Not set</t>
        </is>
      </c>
      <c r="F45" s="2" t="inlineStr">
        <is>
          <t xml:space="preserve">Not tested</t>
        </is>
      </c>
      <c r="G45" s="2" t="inlineStr">
        <is>
          <t xml:space="preserve">Pending</t>
        </is>
      </c>
      <c r="H45" s="2" t="inlineStr">
        <is>
          <t xml:space="preserve">frontend/tests/account-review-refinement.spec.ts (1/3-2/3 ratio, alignment, icons, right-aligned values, stacking at 375 px, filter combination, keyboard, both themes)</t>
        </is>
      </c>
      <c r="I45" s="2" t="inlineStr">
        <is>
          <t xml:space="preserve"/>
        </is>
      </c>
      <c r="J45" s="2" t="inlineStr">
        <is>
          <t xml:space="preserve"/>
        </is>
      </c>
      <c r="K45" s="2" t="inlineStr">
        <is>
          <t xml:space="preserve">Visually checked in light and dark at 1280 and 375 px (screenshots from frontend/tests/account-review-refinement.spec.ts runs, SHOTS option).</t>
        </is>
      </c>
      <c r="L45" s="2" t="inlineStr">
        <is>
          <t xml:space="preserve"/>
        </is>
      </c>
      <c r="M45" s="2" t="inlineStr">
        <is>
          <t xml:space="preserve"/>
        </is>
      </c>
      <c r="N45" s="2" t="inlineStr">
        <is>
          <t xml:space="preserve">Confirm the layout, density and the information button in both themes.</t>
        </is>
      </c>
      <c r="O45" s="2" t="inlineStr">
        <is>
          <t xml:space="preserve"/>
        </is>
      </c>
      <c r="P45" s="2" t="inlineStr">
        <is>
          <t xml:space="preserve">frontend/src/components/Access/AccountReview.tsx; frontend/src/styles/components.css; docs/features/ACCOUNT_REVIEW.md</t>
        </is>
      </c>
      <c r="Q45" s="2" t="inlineStr">
        <is>
          <t xml:space="preserve">Implemented</t>
        </is>
      </c>
      <c r="R45" s="2" t="inlineStr">
        <is>
          <t xml:space="preserve">Unclassified</t>
        </is>
      </c>
      <c r="S45" s="2" t="inlineStr">
        <is>
          <t xml:space="preserve">Not started</t>
        </is>
      </c>
    </row>
    <row r="46">
      <c r="A46" s="2" t="inlineStr">
        <is>
          <t xml:space="preserve">R7-02</t>
        </is>
      </c>
      <c r="B46" s="2" t="inlineStr">
        <is>
          <t xml:space="preserve">Account Review</t>
        </is>
      </c>
      <c r="C46" s="2" t="inlineStr">
        <is>
          <t xml:space="preserve">Account Review, Review attention › All attention KPI tiles occupy one grid cell</t>
        </is>
      </c>
      <c r="D46" s="2" t="inlineStr">
        <is>
          <t xml:space="preserve">All five Review attention tiles have identical size, padding, radius and states; the fifth sits in the left column and the right cell stays empty; warning colors, neutral zero values and click-to-filter are unchanged.</t>
        </is>
      </c>
      <c r="E46" s="2" t="inlineStr">
        <is>
          <t xml:space="preserve">Not set</t>
        </is>
      </c>
      <c r="F46" s="2" t="inlineStr">
        <is>
          <t xml:space="preserve">Not tested</t>
        </is>
      </c>
      <c r="G46" s="2" t="inlineStr">
        <is>
          <t xml:space="preserve">Pending</t>
        </is>
      </c>
      <c r="H46" s="2" t="inlineStr">
        <is>
          <t xml:space="preserve">frontend/tests/account-review-refinement.spec.ts (equal width and height, no column span, left column, light and dark)</t>
        </is>
      </c>
      <c r="I46" s="2" t="inlineStr">
        <is>
          <t xml:space="preserve"/>
        </is>
      </c>
      <c r="J46" s="2" t="inlineStr">
        <is>
          <t xml:space="preserve"/>
        </is>
      </c>
      <c r="K46" s="2" t="inlineStr">
        <is>
          <t xml:space="preserve">Root cause: a grid-column span on the last tile (review-kpi-secondary). Removed.</t>
        </is>
      </c>
      <c r="L46" s="2" t="inlineStr">
        <is>
          <t xml:space="preserve"/>
        </is>
      </c>
      <c r="M46" s="2" t="inlineStr">
        <is>
          <t xml:space="preserve"/>
        </is>
      </c>
      <c r="N46" s="2" t="inlineStr">
        <is>
          <t xml:space="preserve">Check the panel at desktop and narrow widths in both themes.</t>
        </is>
      </c>
      <c r="O46" s="2" t="inlineStr">
        <is>
          <t xml:space="preserve"/>
        </is>
      </c>
      <c r="P46" s="2" t="inlineStr">
        <is>
          <t xml:space="preserve">frontend/src/components/Access/AccountReview.tsx; frontend/src/styles/components.css</t>
        </is>
      </c>
      <c r="Q46" s="2" t="inlineStr">
        <is>
          <t xml:space="preserve">Implemented</t>
        </is>
      </c>
      <c r="R46" s="2" t="inlineStr">
        <is>
          <t xml:space="preserve">Unclassified</t>
        </is>
      </c>
      <c r="S46" s="2" t="inlineStr">
        <is>
          <t xml:space="preserve">Not started</t>
        </is>
      </c>
    </row>
    <row r="47">
      <c r="A47" s="2" t="inlineStr">
        <is>
          <t xml:space="preserve">CMP-001</t>
        </is>
      </c>
      <c r="B47" s="2" t="inlineStr">
        <is>
          <t xml:space="preserve">Compare Users</t>
        </is>
      </c>
      <c r="C47" s="2" t="inlineStr">
        <is>
          <t xml:space="preserve">Compare users › User selection</t>
        </is>
      </c>
      <c r="D47" s="2" t="inlineStr">
        <is>
          <t xml:space="preserve">Two users can be compared; the same user cannot be on both sides.</t>
        </is>
      </c>
      <c r="E47" s="2" t="inlineStr">
        <is>
          <t xml:space="preserve">Not set</t>
        </is>
      </c>
      <c r="F47" s="2" t="inlineStr">
        <is>
          <t xml:space="preserve">Not tested</t>
        </is>
      </c>
      <c r="G47" s="2" t="inlineStr">
        <is>
          <t xml:space="preserve">Pending</t>
        </is>
      </c>
      <c r="H47" s="2" t="inlineStr">
        <is>
          <t xml:space="preserve"/>
        </is>
      </c>
      <c r="I47" s="2" t="inlineStr">
        <is>
          <t xml:space="preserve"/>
        </is>
      </c>
      <c r="J47" s="2" t="inlineStr">
        <is>
          <t xml:space="preserve"/>
        </is>
      </c>
      <c r="K47" s="2" t="inlineStr">
        <is>
          <t xml:space="preserve"/>
        </is>
      </c>
      <c r="L47" s="2" t="inlineStr">
        <is>
          <t xml:space="preserve"/>
        </is>
      </c>
      <c r="M47" s="2" t="inlineStr">
        <is>
          <t xml:space="preserve"/>
        </is>
      </c>
      <c r="N47" s="2" t="inlineStr">
        <is>
          <t xml:space="preserve"/>
        </is>
      </c>
      <c r="O47" s="2" t="inlineStr">
        <is>
          <t xml:space="preserve"/>
        </is>
      </c>
      <c r="P47" s="2" t="inlineStr">
        <is>
          <t xml:space="preserve">docs/features/COMPARE_USERS.md; frontend/tests/investigation-tools.spec.ts</t>
        </is>
      </c>
      <c r="Q47" s="2" t="inlineStr">
        <is>
          <t xml:space="preserve">Not assessed</t>
        </is>
      </c>
      <c r="R47" s="2" t="inlineStr">
        <is>
          <t xml:space="preserve">Unclassified</t>
        </is>
      </c>
      <c r="S47" s="2" t="inlineStr">
        <is>
          <t xml:space="preserve">Not started</t>
        </is>
      </c>
    </row>
    <row r="48">
      <c r="A48" s="2" t="inlineStr">
        <is>
          <t xml:space="preserve">CMP-002</t>
        </is>
      </c>
      <c r="B48" s="2" t="inlineStr">
        <is>
          <t xml:space="preserve">Compare Users</t>
        </is>
      </c>
      <c r="C48" s="2" t="inlineStr">
        <is>
          <t xml:space="preserve">Compare users › Filters</t>
        </is>
      </c>
      <c r="D48" s="2" t="inlineStr">
        <is>
          <t xml:space="preserve">Search, validity, kind, difference and SAP area (multi-select) filter the comparison.</t>
        </is>
      </c>
      <c r="E48" s="2" t="inlineStr">
        <is>
          <t xml:space="preserve">Not set</t>
        </is>
      </c>
      <c r="F48" s="2" t="inlineStr">
        <is>
          <t xml:space="preserve">Not tested</t>
        </is>
      </c>
      <c r="G48" s="2" t="inlineStr">
        <is>
          <t xml:space="preserve">Pending</t>
        </is>
      </c>
      <c r="H48" s="2" t="inlineStr">
        <is>
          <t xml:space="preserve"/>
        </is>
      </c>
      <c r="I48" s="2" t="inlineStr">
        <is>
          <t xml:space="preserve"/>
        </is>
      </c>
      <c r="J48" s="2" t="inlineStr">
        <is>
          <t xml:space="preserve"/>
        </is>
      </c>
      <c r="K48" s="2" t="inlineStr">
        <is>
          <t xml:space="preserve"/>
        </is>
      </c>
      <c r="L48" s="2" t="inlineStr">
        <is>
          <t xml:space="preserve"/>
        </is>
      </c>
      <c r="M48" s="2" t="inlineStr">
        <is>
          <t xml:space="preserve"/>
        </is>
      </c>
      <c r="N48" s="2" t="inlineStr">
        <is>
          <t xml:space="preserve"/>
        </is>
      </c>
      <c r="O48" s="2" t="inlineStr">
        <is>
          <t xml:space="preserve"/>
        </is>
      </c>
      <c r="P48" s="2" t="inlineStr">
        <is>
          <t xml:space="preserve">docs/features/COMPARE_USERS.md; frontend/tests/investigation-filter-refinement.spec.ts</t>
        </is>
      </c>
      <c r="Q48" s="2" t="inlineStr">
        <is>
          <t xml:space="preserve">Not assessed</t>
        </is>
      </c>
      <c r="R48" s="2" t="inlineStr">
        <is>
          <t xml:space="preserve">Unclassified</t>
        </is>
      </c>
      <c r="S48" s="2" t="inlineStr">
        <is>
          <t xml:space="preserve">Not started</t>
        </is>
      </c>
    </row>
    <row r="49">
      <c r="A49" s="2" t="inlineStr">
        <is>
          <t xml:space="preserve">CMP-003</t>
        </is>
      </c>
      <c r="B49" s="2" t="inlineStr">
        <is>
          <t xml:space="preserve">Compare Users</t>
        </is>
      </c>
      <c r="C49" s="2" t="inlineStr">
        <is>
          <t xml:space="preserve">Compare users › Evidence table</t>
        </is>
      </c>
      <c r="D49" s="2" t="inlineStr">
        <is>
          <t xml:space="preserve">Shared, only-left and only-right assignments are labelled with validity evidence and unbroken role names.</t>
        </is>
      </c>
      <c r="E49" s="2" t="inlineStr">
        <is>
          <t xml:space="preserve">Not set</t>
        </is>
      </c>
      <c r="F49" s="2" t="inlineStr">
        <is>
          <t xml:space="preserve">Not tested</t>
        </is>
      </c>
      <c r="G49" s="2" t="inlineStr">
        <is>
          <t xml:space="preserve">Pending</t>
        </is>
      </c>
      <c r="H49" s="2" t="inlineStr">
        <is>
          <t xml:space="preserve"/>
        </is>
      </c>
      <c r="I49" s="2" t="inlineStr">
        <is>
          <t xml:space="preserve"/>
        </is>
      </c>
      <c r="J49" s="2" t="inlineStr">
        <is>
          <t xml:space="preserve"/>
        </is>
      </c>
      <c r="K49" s="2" t="inlineStr">
        <is>
          <t xml:space="preserve"/>
        </is>
      </c>
      <c r="L49" s="2" t="inlineStr">
        <is>
          <t xml:space="preserve"/>
        </is>
      </c>
      <c r="M49" s="2" t="inlineStr">
        <is>
          <t xml:space="preserve"/>
        </is>
      </c>
      <c r="N49" s="2" t="inlineStr">
        <is>
          <t xml:space="preserve"/>
        </is>
      </c>
      <c r="O49" s="2" t="inlineStr">
        <is>
          <t xml:space="preserve"/>
        </is>
      </c>
      <c r="P49" s="2" t="inlineStr">
        <is>
          <t xml:space="preserve">docs/features/COMPARE_USERS.md; frontend/tests/refinement-completion.spec.ts</t>
        </is>
      </c>
      <c r="Q49" s="2" t="inlineStr">
        <is>
          <t xml:space="preserve">Not assessed</t>
        </is>
      </c>
      <c r="R49" s="2" t="inlineStr">
        <is>
          <t xml:space="preserve">Unclassified</t>
        </is>
      </c>
      <c r="S49" s="2" t="inlineStr">
        <is>
          <t xml:space="preserve">Not started</t>
        </is>
      </c>
    </row>
    <row r="50">
      <c r="A50" s="2" t="inlineStr">
        <is>
          <t xml:space="preserve">CMP-004</t>
        </is>
      </c>
      <c r="B50" s="2" t="inlineStr">
        <is>
          <t xml:space="preserve">Compare Users</t>
        </is>
      </c>
      <c r="C50" s="2" t="inlineStr">
        <is>
          <t xml:space="preserve">Compare users › Saved filters</t>
        </is>
      </c>
      <c r="D50" s="2" t="inlineStr">
        <is>
          <t xml:space="preserve">Comparison filters save and load.</t>
        </is>
      </c>
      <c r="E50" s="2" t="inlineStr">
        <is>
          <t xml:space="preserve">Not set</t>
        </is>
      </c>
      <c r="F50" s="2" t="inlineStr">
        <is>
          <t xml:space="preserve">Not tested</t>
        </is>
      </c>
      <c r="G50" s="2" t="inlineStr">
        <is>
          <t xml:space="preserve">Pending</t>
        </is>
      </c>
      <c r="H50" s="2" t="inlineStr">
        <is>
          <t xml:space="preserve"/>
        </is>
      </c>
      <c r="I50" s="2" t="inlineStr">
        <is>
          <t xml:space="preserve"/>
        </is>
      </c>
      <c r="J50" s="2" t="inlineStr">
        <is>
          <t xml:space="preserve"/>
        </is>
      </c>
      <c r="K50" s="2" t="inlineStr">
        <is>
          <t xml:space="preserve"/>
        </is>
      </c>
      <c r="L50" s="2" t="inlineStr">
        <is>
          <t xml:space="preserve"/>
        </is>
      </c>
      <c r="M50" s="2" t="inlineStr">
        <is>
          <t xml:space="preserve"/>
        </is>
      </c>
      <c r="N50" s="2" t="inlineStr">
        <is>
          <t xml:space="preserve"/>
        </is>
      </c>
      <c r="O50" s="2" t="inlineStr">
        <is>
          <t xml:space="preserve"/>
        </is>
      </c>
      <c r="P50" s="2" t="inlineStr">
        <is>
          <t xml:space="preserve">docs/features/SAVED_FILTERS.md; frontend/tests/saved-filter-migration.spec.ts</t>
        </is>
      </c>
      <c r="Q50" s="2" t="inlineStr">
        <is>
          <t xml:space="preserve">Not assessed</t>
        </is>
      </c>
      <c r="R50" s="2" t="inlineStr">
        <is>
          <t xml:space="preserve">Unclassified</t>
        </is>
      </c>
      <c r="S50" s="2" t="inlineStr">
        <is>
          <t xml:space="preserve">Not started</t>
        </is>
      </c>
    </row>
    <row r="51">
      <c r="A51" s="2" t="inlineStr">
        <is>
          <t xml:space="preserve">R7-03</t>
        </is>
      </c>
      <c r="B51" s="2" t="inlineStr">
        <is>
          <t xml:space="preserve">Compare Users</t>
        </is>
      </c>
      <c r="C51" s="2" t="inlineStr">
        <is>
          <t xml:space="preserve">Compare users, role/transaction differences › Evidence and difference badges aligned</t>
        </is>
      </c>
      <c r="D51" s="2" t="inlineStr">
        <is>
          <t xml:space="preserve">Difference and evidence badges start at the same vertical position in every row, SAP User Group sits directly beneath the evidence badge, "No matching evidence" is top-aligned, and rows with several evidence entries do not overlap.</t>
        </is>
      </c>
      <c r="E51" s="2" t="inlineStr">
        <is>
          <t xml:space="preserve">Not set</t>
        </is>
      </c>
      <c r="F51" s="2" t="inlineStr">
        <is>
          <t xml:space="preserve">Not tested</t>
        </is>
      </c>
      <c r="G51" s="2" t="inlineStr">
        <is>
          <t xml:space="preserve">Pending</t>
        </is>
      </c>
      <c r="H51" s="2" t="inlineStr">
        <is>
          <t xml:space="preserve">frontend/tests/investigation-tools.spec.ts (vertical position per row and side)</t>
        </is>
      </c>
      <c r="I51" s="2" t="inlineStr">
        <is>
          <t xml:space="preserve"/>
        </is>
      </c>
      <c r="J51" s="2" t="inlineStr">
        <is>
          <t xml:space="preserve"/>
        </is>
      </c>
      <c r="K51" s="2" t="inlineStr">
        <is>
          <t xml:space="preserve">Root cause: the first evidence item had 8px top padding and its status control an 8px top margin. Both removed for the first entry; both badges share one height.</t>
        </is>
      </c>
      <c r="L51" s="2" t="inlineStr">
        <is>
          <t xml:space="preserve"/>
        </is>
      </c>
      <c r="M51" s="2" t="inlineStr">
        <is>
          <t xml:space="preserve"/>
        </is>
      </c>
      <c r="N51" s="2" t="inlineStr">
        <is>
          <t xml:space="preserve">Check rows with several evidence entries and rows with no evidence in both themes.</t>
        </is>
      </c>
      <c r="O51" s="2" t="inlineStr">
        <is>
          <t xml:space="preserve"/>
        </is>
      </c>
      <c r="P51" s="2" t="inlineStr">
        <is>
          <t xml:space="preserve">frontend/src/styles/components.css</t>
        </is>
      </c>
      <c r="Q51" s="2" t="inlineStr">
        <is>
          <t xml:space="preserve">Implemented</t>
        </is>
      </c>
      <c r="R51" s="2" t="inlineStr">
        <is>
          <t xml:space="preserve">Unclassified</t>
        </is>
      </c>
      <c r="S51" s="2" t="inlineStr">
        <is>
          <t xml:space="preserve">Not started</t>
        </is>
      </c>
    </row>
    <row r="52">
      <c r="A52" s="2" t="inlineStr">
        <is>
          <t xml:space="preserve">REL-001</t>
        </is>
      </c>
      <c r="B52" s="2" t="inlineStr">
        <is>
          <t xml:space="preserve">Release Roles</t>
        </is>
      </c>
      <c r="C52" s="2" t="inlineStr">
        <is>
          <t xml:space="preserve">Release Roles › Filters</t>
        </is>
      </c>
      <c r="D52" s="2" t="inlineStr">
        <is>
          <t xml:space="preserve">SAP User Group (multi-select), release areas and groups, kind and validity dates filter the release matrix.</t>
        </is>
      </c>
      <c r="E52" s="2" t="inlineStr">
        <is>
          <t xml:space="preserve">Not set</t>
        </is>
      </c>
      <c r="F52" s="2" t="inlineStr">
        <is>
          <t xml:space="preserve">Not tested</t>
        </is>
      </c>
      <c r="G52" s="2" t="inlineStr">
        <is>
          <t xml:space="preserve">Pending</t>
        </is>
      </c>
      <c r="H52" s="2" t="inlineStr">
        <is>
          <t xml:space="preserve"/>
        </is>
      </c>
      <c r="I52" s="2" t="inlineStr">
        <is>
          <t xml:space="preserve"/>
        </is>
      </c>
      <c r="J52" s="2" t="inlineStr">
        <is>
          <t xml:space="preserve"/>
        </is>
      </c>
      <c r="K52" s="2" t="inlineStr">
        <is>
          <t xml:space="preserve"/>
        </is>
      </c>
      <c r="L52" s="2" t="inlineStr">
        <is>
          <t xml:space="preserve"/>
        </is>
      </c>
      <c r="M52" s="2" t="inlineStr">
        <is>
          <t xml:space="preserve"/>
        </is>
      </c>
      <c r="N52" s="2" t="inlineStr">
        <is>
          <t xml:space="preserve"/>
        </is>
      </c>
      <c r="O52" s="2" t="inlineStr">
        <is>
          <t xml:space="preserve"/>
        </is>
      </c>
      <c r="P52" s="2" t="inlineStr">
        <is>
          <t xml:space="preserve">docs/features/RELEASE_ROLES.md; frontend/tests/release-roles.spec.ts</t>
        </is>
      </c>
      <c r="Q52" s="2" t="inlineStr">
        <is>
          <t xml:space="preserve">Not assessed</t>
        </is>
      </c>
      <c r="R52" s="2" t="inlineStr">
        <is>
          <t xml:space="preserve">Unclassified</t>
        </is>
      </c>
      <c r="S52" s="2" t="inlineStr">
        <is>
          <t xml:space="preserve">Not started</t>
        </is>
      </c>
    </row>
    <row r="53">
      <c r="A53" s="2" t="inlineStr">
        <is>
          <t xml:space="preserve">REL-002</t>
        </is>
      </c>
      <c r="B53" s="2" t="inlineStr">
        <is>
          <t xml:space="preserve">Release Roles</t>
        </is>
      </c>
      <c r="C53" s="2" t="inlineStr">
        <is>
          <t xml:space="preserve">Release Roles › Release matrix</t>
        </is>
      </c>
      <c r="D53" s="2" t="inlineStr">
        <is>
          <t xml:space="preserve">The matrix shows release roles per group with correct counts and a visible sticky header.</t>
        </is>
      </c>
      <c r="E53" s="2" t="inlineStr">
        <is>
          <t xml:space="preserve">Not set</t>
        </is>
      </c>
      <c r="F53" s="2" t="inlineStr">
        <is>
          <t xml:space="preserve">Not tested</t>
        </is>
      </c>
      <c r="G53" s="2" t="inlineStr">
        <is>
          <t xml:space="preserve">Pending</t>
        </is>
      </c>
      <c r="H53" s="2" t="inlineStr">
        <is>
          <t xml:space="preserve"/>
        </is>
      </c>
      <c r="I53" s="2" t="inlineStr">
        <is>
          <t xml:space="preserve"/>
        </is>
      </c>
      <c r="J53" s="2" t="inlineStr">
        <is>
          <t xml:space="preserve"/>
        </is>
      </c>
      <c r="K53" s="2" t="inlineStr">
        <is>
          <t xml:space="preserve"/>
        </is>
      </c>
      <c r="L53" s="2" t="inlineStr">
        <is>
          <t xml:space="preserve"/>
        </is>
      </c>
      <c r="M53" s="2" t="inlineStr">
        <is>
          <t xml:space="preserve"/>
        </is>
      </c>
      <c r="N53" s="2" t="inlineStr">
        <is>
          <t xml:space="preserve"/>
        </is>
      </c>
      <c r="O53" s="2" t="inlineStr">
        <is>
          <t xml:space="preserve"/>
        </is>
      </c>
      <c r="P53" s="2" t="inlineStr">
        <is>
          <t xml:space="preserve">docs/features/RELEASE_ROLES.md; frontend/tests/release-roles.spec.ts</t>
        </is>
      </c>
      <c r="Q53" s="2" t="inlineStr">
        <is>
          <t xml:space="preserve">Not assessed</t>
        </is>
      </c>
      <c r="R53" s="2" t="inlineStr">
        <is>
          <t xml:space="preserve">Unclassified</t>
        </is>
      </c>
      <c r="S53" s="2" t="inlineStr">
        <is>
          <t xml:space="preserve">Not started</t>
        </is>
      </c>
    </row>
    <row r="54">
      <c r="A54" s="2" t="inlineStr">
        <is>
          <t xml:space="preserve">REL-003</t>
        </is>
      </c>
      <c r="B54" s="2" t="inlineStr">
        <is>
          <t xml:space="preserve">Release Roles</t>
        </is>
      </c>
      <c r="C54" s="2" t="inlineStr">
        <is>
          <t xml:space="preserve">Release Roles › Action toolbar</t>
        </is>
      </c>
      <c r="D54" s="2" t="inlineStr">
        <is>
          <t xml:space="preserve">Compare SAP User Groups, Add filtered roles, Copy role names, Export role list and Export CSV share one height and order.</t>
        </is>
      </c>
      <c r="E54" s="2" t="inlineStr">
        <is>
          <t xml:space="preserve">Not set</t>
        </is>
      </c>
      <c r="F54" s="2" t="inlineStr">
        <is>
          <t xml:space="preserve">Not tested</t>
        </is>
      </c>
      <c r="G54" s="2" t="inlineStr">
        <is>
          <t xml:space="preserve">Pending</t>
        </is>
      </c>
      <c r="H54" s="2" t="inlineStr">
        <is>
          <t xml:space="preserve"/>
        </is>
      </c>
      <c r="I54" s="2" t="inlineStr">
        <is>
          <t xml:space="preserve"/>
        </is>
      </c>
      <c r="J54" s="2" t="inlineStr">
        <is>
          <t xml:space="preserve"/>
        </is>
      </c>
      <c r="K54" s="2" t="inlineStr">
        <is>
          <t xml:space="preserve"/>
        </is>
      </c>
      <c r="L54" s="2" t="inlineStr">
        <is>
          <t xml:space="preserve"/>
        </is>
      </c>
      <c r="M54" s="2" t="inlineStr">
        <is>
          <t xml:space="preserve"/>
        </is>
      </c>
      <c r="N54" s="2" t="inlineStr">
        <is>
          <t xml:space="preserve"/>
        </is>
      </c>
      <c r="O54" s="2" t="inlineStr">
        <is>
          <t xml:space="preserve"/>
        </is>
      </c>
      <c r="P54" s="2" t="inlineStr">
        <is>
          <t xml:space="preserve">docs/features/RELEASE_ROLES.md; frontend/tests/release-roles.spec.ts</t>
        </is>
      </c>
      <c r="Q54" s="2" t="inlineStr">
        <is>
          <t xml:space="preserve">Not assessed</t>
        </is>
      </c>
      <c r="R54" s="2" t="inlineStr">
        <is>
          <t xml:space="preserve">Unclassified</t>
        </is>
      </c>
      <c r="S54" s="2" t="inlineStr">
        <is>
          <t xml:space="preserve">Not started</t>
        </is>
      </c>
    </row>
    <row r="55">
      <c r="A55" s="2" t="inlineStr">
        <is>
          <t xml:space="preserve">REL-004</t>
        </is>
      </c>
      <c r="B55" s="2" t="inlineStr">
        <is>
          <t xml:space="preserve">Release Roles</t>
        </is>
      </c>
      <c r="C55" s="2" t="inlineStr">
        <is>
          <t xml:space="preserve">Release Roles › Users of a release role</t>
        </is>
      </c>
      <c r="D55" s="2" t="inlineStr">
        <is>
          <t xml:space="preserve">The users modal is wide, scrollable and keeps names intact.</t>
        </is>
      </c>
      <c r="E55" s="2" t="inlineStr">
        <is>
          <t xml:space="preserve">Not set</t>
        </is>
      </c>
      <c r="F55" s="2" t="inlineStr">
        <is>
          <t xml:space="preserve">Not tested</t>
        </is>
      </c>
      <c r="G55" s="2" t="inlineStr">
        <is>
          <t xml:space="preserve">Pending</t>
        </is>
      </c>
      <c r="H55" s="2" t="inlineStr">
        <is>
          <t xml:space="preserve"/>
        </is>
      </c>
      <c r="I55" s="2" t="inlineStr">
        <is>
          <t xml:space="preserve"/>
        </is>
      </c>
      <c r="J55" s="2" t="inlineStr">
        <is>
          <t xml:space="preserve"/>
        </is>
      </c>
      <c r="K55" s="2" t="inlineStr">
        <is>
          <t xml:space="preserve"/>
        </is>
      </c>
      <c r="L55" s="2" t="inlineStr">
        <is>
          <t xml:space="preserve"/>
        </is>
      </c>
      <c r="M55" s="2" t="inlineStr">
        <is>
          <t xml:space="preserve"/>
        </is>
      </c>
      <c r="N55" s="2" t="inlineStr">
        <is>
          <t xml:space="preserve"/>
        </is>
      </c>
      <c r="O55" s="2" t="inlineStr">
        <is>
          <t xml:space="preserve"/>
        </is>
      </c>
      <c r="P55" s="2" t="inlineStr">
        <is>
          <t xml:space="preserve">docs/features/RELEASE_ROLES.md; frontend/tests/release-roles.spec.ts</t>
        </is>
      </c>
      <c r="Q55" s="2" t="inlineStr">
        <is>
          <t xml:space="preserve">Not assessed</t>
        </is>
      </c>
      <c r="R55" s="2" t="inlineStr">
        <is>
          <t xml:space="preserve">Unclassified</t>
        </is>
      </c>
      <c r="S55" s="2" t="inlineStr">
        <is>
          <t xml:space="preserve">Not started</t>
        </is>
      </c>
    </row>
    <row r="56">
      <c r="A56" s="2" t="inlineStr">
        <is>
          <t xml:space="preserve">REL-005</t>
        </is>
      </c>
      <c r="B56" s="2" t="inlineStr">
        <is>
          <t xml:space="preserve">Release Roles</t>
        </is>
      </c>
      <c r="C56" s="2" t="inlineStr">
        <is>
          <t xml:space="preserve">Release Roles › Exports</t>
        </is>
      </c>
      <c r="D56" s="2" t="inlineStr">
        <is>
          <t xml:space="preserve">Exports respect the active filters and omit presentation-only grouping.</t>
        </is>
      </c>
      <c r="E56" s="2" t="inlineStr">
        <is>
          <t xml:space="preserve">Not set</t>
        </is>
      </c>
      <c r="F56" s="2" t="inlineStr">
        <is>
          <t xml:space="preserve">Not tested</t>
        </is>
      </c>
      <c r="G56" s="2" t="inlineStr">
        <is>
          <t xml:space="preserve">Pending</t>
        </is>
      </c>
      <c r="H56" s="2" t="inlineStr">
        <is>
          <t xml:space="preserve"/>
        </is>
      </c>
      <c r="I56" s="2" t="inlineStr">
        <is>
          <t xml:space="preserve"/>
        </is>
      </c>
      <c r="J56" s="2" t="inlineStr">
        <is>
          <t xml:space="preserve"/>
        </is>
      </c>
      <c r="K56" s="2" t="inlineStr">
        <is>
          <t xml:space="preserve"/>
        </is>
      </c>
      <c r="L56" s="2" t="inlineStr">
        <is>
          <t xml:space="preserve"/>
        </is>
      </c>
      <c r="M56" s="2" t="inlineStr">
        <is>
          <t xml:space="preserve"/>
        </is>
      </c>
      <c r="N56" s="2" t="inlineStr">
        <is>
          <t xml:space="preserve"/>
        </is>
      </c>
      <c r="O56" s="2" t="inlineStr">
        <is>
          <t xml:space="preserve"/>
        </is>
      </c>
      <c r="P56" s="2" t="inlineStr">
        <is>
          <t xml:space="preserve">docs/features/RELEASE_ROLES.md; frontend/tests/release-roles.spec.ts</t>
        </is>
      </c>
      <c r="Q56" s="2" t="inlineStr">
        <is>
          <t xml:space="preserve">Not assessed</t>
        </is>
      </c>
      <c r="R56" s="2" t="inlineStr">
        <is>
          <t xml:space="preserve">Unclassified</t>
        </is>
      </c>
      <c r="S56" s="2" t="inlineStr">
        <is>
          <t xml:space="preserve">Not started</t>
        </is>
      </c>
    </row>
    <row r="57">
      <c r="A57" s="2" t="inlineStr">
        <is>
          <t xml:space="preserve">SODO-001</t>
        </is>
      </c>
      <c r="B57" s="2" t="inlineStr">
        <is>
          <t xml:space="preserve">SoD Overview</t>
        </is>
      </c>
      <c r="C57" s="2" t="inlineStr">
        <is>
          <t xml:space="preserve">SoD Overview › Conflicts group</t>
        </is>
      </c>
      <c r="D57" s="2" t="inlineStr">
        <is>
          <t xml:space="preserve">Users with potential conflicts, users with more than one risk, user-risk findings and enabled risk definitions open the matching filtered view.</t>
        </is>
      </c>
      <c r="E57" s="2" t="inlineStr">
        <is>
          <t xml:space="preserve">Not set</t>
        </is>
      </c>
      <c r="F57" s="2" t="inlineStr">
        <is>
          <t xml:space="preserve">Not tested</t>
        </is>
      </c>
      <c r="G57" s="2" t="inlineStr">
        <is>
          <t xml:space="preserve">Pending</t>
        </is>
      </c>
      <c r="H57" s="2" t="inlineStr">
        <is>
          <t xml:space="preserve"/>
        </is>
      </c>
      <c r="I57" s="2" t="inlineStr">
        <is>
          <t xml:space="preserve"/>
        </is>
      </c>
      <c r="J57" s="2" t="inlineStr">
        <is>
          <t xml:space="preserve"/>
        </is>
      </c>
      <c r="K57" s="2" t="inlineStr">
        <is>
          <t xml:space="preserve"/>
        </is>
      </c>
      <c r="L57" s="2" t="inlineStr">
        <is>
          <t xml:space="preserve"/>
        </is>
      </c>
      <c r="M57" s="2" t="inlineStr">
        <is>
          <t xml:space="preserve"/>
        </is>
      </c>
      <c r="N57" s="2" t="inlineStr">
        <is>
          <t xml:space="preserve"/>
        </is>
      </c>
      <c r="O57" s="2" t="inlineStr">
        <is>
          <t xml:space="preserve"/>
        </is>
      </c>
      <c r="P57" s="2" t="inlineStr">
        <is>
          <t xml:space="preserve">docs/features/SOD.md; frontend/tests/sod-overview-actionable.spec.ts, frontend/tests/sod-overview-heatmap.spec.ts</t>
        </is>
      </c>
      <c r="Q57" s="2" t="inlineStr">
        <is>
          <t xml:space="preserve">Not assessed</t>
        </is>
      </c>
      <c r="R57" s="2" t="inlineStr">
        <is>
          <t xml:space="preserve">Unclassified</t>
        </is>
      </c>
      <c r="S57" s="2" t="inlineStr">
        <is>
          <t xml:space="preserve">Not started</t>
        </is>
      </c>
    </row>
    <row r="58">
      <c r="A58" s="2" t="inlineStr">
        <is>
          <t xml:space="preserve">SODO-002</t>
        </is>
      </c>
      <c r="B58" s="2" t="inlineStr">
        <is>
          <t xml:space="preserve">SoD Overview</t>
        </is>
      </c>
      <c r="C58" s="2" t="inlineStr">
        <is>
          <t xml:space="preserve">SoD Overview › Reviews group</t>
        </is>
      </c>
      <c r="D58" s="2" t="inlineStr">
        <is>
          <t xml:space="preserve">Activity and risk review counts match the matrices and link to filtered views.</t>
        </is>
      </c>
      <c r="E58" s="2" t="inlineStr">
        <is>
          <t xml:space="preserve">Not set</t>
        </is>
      </c>
      <c r="F58" s="2" t="inlineStr">
        <is>
          <t xml:space="preserve">Not tested</t>
        </is>
      </c>
      <c r="G58" s="2" t="inlineStr">
        <is>
          <t xml:space="preserve">Pending</t>
        </is>
      </c>
      <c r="H58" s="2" t="inlineStr">
        <is>
          <t xml:space="preserve"/>
        </is>
      </c>
      <c r="I58" s="2" t="inlineStr">
        <is>
          <t xml:space="preserve"/>
        </is>
      </c>
      <c r="J58" s="2" t="inlineStr">
        <is>
          <t xml:space="preserve"/>
        </is>
      </c>
      <c r="K58" s="2" t="inlineStr">
        <is>
          <t xml:space="preserve"/>
        </is>
      </c>
      <c r="L58" s="2" t="inlineStr">
        <is>
          <t xml:space="preserve"/>
        </is>
      </c>
      <c r="M58" s="2" t="inlineStr">
        <is>
          <t xml:space="preserve"/>
        </is>
      </c>
      <c r="N58" s="2" t="inlineStr">
        <is>
          <t xml:space="preserve"/>
        </is>
      </c>
      <c r="O58" s="2" t="inlineStr">
        <is>
          <t xml:space="preserve"/>
        </is>
      </c>
      <c r="P58" s="2" t="inlineStr">
        <is>
          <t xml:space="preserve">docs/features/SOD.md; frontend/tests/sod-overview-heatmap.spec.ts</t>
        </is>
      </c>
      <c r="Q58" s="2" t="inlineStr">
        <is>
          <t xml:space="preserve">Not assessed</t>
        </is>
      </c>
      <c r="R58" s="2" t="inlineStr">
        <is>
          <t xml:space="preserve">Unclassified</t>
        </is>
      </c>
      <c r="S58" s="2" t="inlineStr">
        <is>
          <t xml:space="preserve">Not started</t>
        </is>
      </c>
    </row>
    <row r="59">
      <c r="A59" s="2" t="inlineStr">
        <is>
          <t xml:space="preserve">SODO-003</t>
        </is>
      </c>
      <c r="B59" s="2" t="inlineStr">
        <is>
          <t xml:space="preserve">SoD Overview</t>
        </is>
      </c>
      <c r="C59" s="2" t="inlineStr">
        <is>
          <t xml:space="preserve">SoD Overview › Remediation group</t>
        </is>
      </c>
      <c r="D59" s="2" t="inlineStr">
        <is>
          <t xml:space="preserve">Assignments marked for removal, open and overdue actions and remediation awaiting action link to Remediation.</t>
        </is>
      </c>
      <c r="E59" s="2" t="inlineStr">
        <is>
          <t xml:space="preserve">Not set</t>
        </is>
      </c>
      <c r="F59" s="2" t="inlineStr">
        <is>
          <t xml:space="preserve">Not tested</t>
        </is>
      </c>
      <c r="G59" s="2" t="inlineStr">
        <is>
          <t xml:space="preserve">Pending</t>
        </is>
      </c>
      <c r="H59" s="2" t="inlineStr">
        <is>
          <t xml:space="preserve"/>
        </is>
      </c>
      <c r="I59" s="2" t="inlineStr">
        <is>
          <t xml:space="preserve"/>
        </is>
      </c>
      <c r="J59" s="2" t="inlineStr">
        <is>
          <t xml:space="preserve"/>
        </is>
      </c>
      <c r="K59" s="2" t="inlineStr">
        <is>
          <t xml:space="preserve"/>
        </is>
      </c>
      <c r="L59" s="2" t="inlineStr">
        <is>
          <t xml:space="preserve"/>
        </is>
      </c>
      <c r="M59" s="2" t="inlineStr">
        <is>
          <t xml:space="preserve"/>
        </is>
      </c>
      <c r="N59" s="2" t="inlineStr">
        <is>
          <t xml:space="preserve"/>
        </is>
      </c>
      <c r="O59" s="2" t="inlineStr">
        <is>
          <t xml:space="preserve"/>
        </is>
      </c>
      <c r="P59" s="2" t="inlineStr">
        <is>
          <t xml:space="preserve">docs/features/SOD.md; frontend/tests/sod-overview-actionable.spec.ts</t>
        </is>
      </c>
      <c r="Q59" s="2" t="inlineStr">
        <is>
          <t xml:space="preserve">Not assessed</t>
        </is>
      </c>
      <c r="R59" s="2" t="inlineStr">
        <is>
          <t xml:space="preserve">Unclassified</t>
        </is>
      </c>
      <c r="S59" s="2" t="inlineStr">
        <is>
          <t xml:space="preserve">Not started</t>
        </is>
      </c>
    </row>
    <row r="60">
      <c r="A60" s="2" t="inlineStr">
        <is>
          <t xml:space="preserve">SODO-004</t>
        </is>
      </c>
      <c r="B60" s="2" t="inlineStr">
        <is>
          <t xml:space="preserve">SoD Overview</t>
        </is>
      </c>
      <c r="C60" s="2" t="inlineStr">
        <is>
          <t xml:space="preserve">SoD Overview › Card alignment</t>
        </is>
      </c>
      <c r="D60" s="2" t="inlineStr">
        <is>
          <t xml:space="preserve">Conflicts, Reviews and Remediation rows share height and spacing.</t>
        </is>
      </c>
      <c r="E60" s="2" t="inlineStr">
        <is>
          <t xml:space="preserve">Not set</t>
        </is>
      </c>
      <c r="F60" s="2" t="inlineStr">
        <is>
          <t xml:space="preserve">Not tested</t>
        </is>
      </c>
      <c r="G60" s="2" t="inlineStr">
        <is>
          <t xml:space="preserve">Pending</t>
        </is>
      </c>
      <c r="H60" s="2" t="inlineStr">
        <is>
          <t xml:space="preserve"/>
        </is>
      </c>
      <c r="I60" s="2" t="inlineStr">
        <is>
          <t xml:space="preserve"/>
        </is>
      </c>
      <c r="J60" s="2" t="inlineStr">
        <is>
          <t xml:space="preserve"/>
        </is>
      </c>
      <c r="K60" s="2" t="inlineStr">
        <is>
          <t xml:space="preserve"/>
        </is>
      </c>
      <c r="L60" s="2" t="inlineStr">
        <is>
          <t xml:space="preserve"/>
        </is>
      </c>
      <c r="M60" s="2" t="inlineStr">
        <is>
          <t xml:space="preserve"/>
        </is>
      </c>
      <c r="N60" s="2" t="inlineStr">
        <is>
          <t xml:space="preserve"/>
        </is>
      </c>
      <c r="O60" s="2" t="inlineStr">
        <is>
          <t xml:space="preserve"/>
        </is>
      </c>
      <c r="P60" s="2" t="inlineStr">
        <is>
          <t xml:space="preserve">docs/features/SOD.md; frontend/tests/sod-overview-actionable.spec.ts</t>
        </is>
      </c>
      <c r="Q60" s="2" t="inlineStr">
        <is>
          <t xml:space="preserve">Not assessed</t>
        </is>
      </c>
      <c r="R60" s="2" t="inlineStr">
        <is>
          <t xml:space="preserve">Unclassified</t>
        </is>
      </c>
      <c r="S60" s="2" t="inlineStr">
        <is>
          <t xml:space="preserve">Not started</t>
        </is>
      </c>
    </row>
    <row r="61">
      <c r="A61" s="2" t="inlineStr">
        <is>
          <t xml:space="preserve">SODO-005</t>
        </is>
      </c>
      <c r="B61" s="2" t="inlineStr">
        <is>
          <t xml:space="preserve">SoD Overview</t>
        </is>
      </c>
      <c r="C61" s="2" t="inlineStr">
        <is>
          <t xml:space="preserve">SoD Overview › SAP User Group heatmap</t>
        </is>
      </c>
      <c r="D61" s="2" t="inlineStr">
        <is>
          <t xml:space="preserve">Distinct users per group and risk; selections write to page filters or hand over to the matching matrix.</t>
        </is>
      </c>
      <c r="E61" s="2" t="inlineStr">
        <is>
          <t xml:space="preserve">Not set</t>
        </is>
      </c>
      <c r="F61" s="2" t="inlineStr">
        <is>
          <t xml:space="preserve">Not tested</t>
        </is>
      </c>
      <c r="G61" s="2" t="inlineStr">
        <is>
          <t xml:space="preserve">Pending</t>
        </is>
      </c>
      <c r="H61" s="2" t="inlineStr">
        <is>
          <t xml:space="preserve"/>
        </is>
      </c>
      <c r="I61" s="2" t="inlineStr">
        <is>
          <t xml:space="preserve"/>
        </is>
      </c>
      <c r="J61" s="2" t="inlineStr">
        <is>
          <t xml:space="preserve"/>
        </is>
      </c>
      <c r="K61" s="2" t="inlineStr">
        <is>
          <t xml:space="preserve"/>
        </is>
      </c>
      <c r="L61" s="2" t="inlineStr">
        <is>
          <t xml:space="preserve"/>
        </is>
      </c>
      <c r="M61" s="2" t="inlineStr">
        <is>
          <t xml:space="preserve"/>
        </is>
      </c>
      <c r="N61" s="2" t="inlineStr">
        <is>
          <t xml:space="preserve"/>
        </is>
      </c>
      <c r="O61" s="2" t="inlineStr">
        <is>
          <t xml:space="preserve"/>
        </is>
      </c>
      <c r="P61" s="2" t="inlineStr">
        <is>
          <t xml:space="preserve">docs/features/SOD.md; frontend/tests/sod-shared-heatmap.spec.ts</t>
        </is>
      </c>
      <c r="Q61" s="2" t="inlineStr">
        <is>
          <t xml:space="preserve">Not assessed</t>
        </is>
      </c>
      <c r="R61" s="2" t="inlineStr">
        <is>
          <t xml:space="preserve">Unclassified</t>
        </is>
      </c>
      <c r="S61" s="2" t="inlineStr">
        <is>
          <t xml:space="preserve">Not started</t>
        </is>
      </c>
    </row>
    <row r="62">
      <c r="A62" s="2" t="inlineStr">
        <is>
          <t xml:space="preserve">SODO-006</t>
        </is>
      </c>
      <c r="B62" s="2" t="inlineStr">
        <is>
          <t xml:space="preserve">SoD Overview</t>
        </is>
      </c>
      <c r="C62" s="2" t="inlineStr">
        <is>
          <t xml:space="preserve">SoD Overview › Review period and approval</t>
        </is>
      </c>
      <c r="D62" s="2" t="inlineStr">
        <is>
          <t xml:space="preserve">Latest approval and open period progress are shown; empty states are explicit.</t>
        </is>
      </c>
      <c r="E62" s="2" t="inlineStr">
        <is>
          <t xml:space="preserve">Not set</t>
        </is>
      </c>
      <c r="F62" s="2" t="inlineStr">
        <is>
          <t xml:space="preserve">Not tested</t>
        </is>
      </c>
      <c r="G62" s="2" t="inlineStr">
        <is>
          <t xml:space="preserve">Pending</t>
        </is>
      </c>
      <c r="H62" s="2" t="inlineStr">
        <is>
          <t xml:space="preserve"/>
        </is>
      </c>
      <c r="I62" s="2" t="inlineStr">
        <is>
          <t xml:space="preserve"/>
        </is>
      </c>
      <c r="J62" s="2" t="inlineStr">
        <is>
          <t xml:space="preserve"/>
        </is>
      </c>
      <c r="K62" s="2" t="inlineStr">
        <is>
          <t xml:space="preserve"/>
        </is>
      </c>
      <c r="L62" s="2" t="inlineStr">
        <is>
          <t xml:space="preserve"/>
        </is>
      </c>
      <c r="M62" s="2" t="inlineStr">
        <is>
          <t xml:space="preserve"/>
        </is>
      </c>
      <c r="N62" s="2" t="inlineStr">
        <is>
          <t xml:space="preserve"/>
        </is>
      </c>
      <c r="O62" s="2" t="inlineStr">
        <is>
          <t xml:space="preserve"/>
        </is>
      </c>
      <c r="P62" s="2" t="inlineStr">
        <is>
          <t xml:space="preserve">docs/features/SOD.md; frontend/tests/sod-periods.spec.ts</t>
        </is>
      </c>
      <c r="Q62" s="2" t="inlineStr">
        <is>
          <t xml:space="preserve">Not assessed</t>
        </is>
      </c>
      <c r="R62" s="2" t="inlineStr">
        <is>
          <t xml:space="preserve">Unclassified</t>
        </is>
      </c>
      <c r="S62" s="2" t="inlineStr">
        <is>
          <t xml:space="preserve">Not started</t>
        </is>
      </c>
    </row>
    <row r="63">
      <c r="A63" s="2" t="inlineStr">
        <is>
          <t xml:space="preserve">SODO-007</t>
        </is>
      </c>
      <c r="B63" s="2" t="inlineStr">
        <is>
          <t xml:space="preserve">SoD Overview</t>
        </is>
      </c>
      <c r="C63" s="2" t="inlineStr">
        <is>
          <t xml:space="preserve">SoD Overview › Evidence freshness and coverage</t>
        </is>
      </c>
      <c r="D63" s="2" t="inlineStr">
        <is>
          <t xml:space="preserve">Import and check times, change since the last refresh and catalogue coverage are shown with limits.</t>
        </is>
      </c>
      <c r="E63" s="2" t="inlineStr">
        <is>
          <t xml:space="preserve">Not set</t>
        </is>
      </c>
      <c r="F63" s="2" t="inlineStr">
        <is>
          <t xml:space="preserve">Not tested</t>
        </is>
      </c>
      <c r="G63" s="2" t="inlineStr">
        <is>
          <t xml:space="preserve">Pending</t>
        </is>
      </c>
      <c r="H63" s="2" t="inlineStr">
        <is>
          <t xml:space="preserve"/>
        </is>
      </c>
      <c r="I63" s="2" t="inlineStr">
        <is>
          <t xml:space="preserve"/>
        </is>
      </c>
      <c r="J63" s="2" t="inlineStr">
        <is>
          <t xml:space="preserve"/>
        </is>
      </c>
      <c r="K63" s="2" t="inlineStr">
        <is>
          <t xml:space="preserve"/>
        </is>
      </c>
      <c r="L63" s="2" t="inlineStr">
        <is>
          <t xml:space="preserve"/>
        </is>
      </c>
      <c r="M63" s="2" t="inlineStr">
        <is>
          <t xml:space="preserve"/>
        </is>
      </c>
      <c r="N63" s="2" t="inlineStr">
        <is>
          <t xml:space="preserve"/>
        </is>
      </c>
      <c r="O63" s="2" t="inlineStr">
        <is>
          <t xml:space="preserve"/>
        </is>
      </c>
      <c r="P63" s="2" t="inlineStr">
        <is>
          <t xml:space="preserve">docs/features/SOD.md; frontend/tests/sod-overview-heatmap.spec.ts</t>
        </is>
      </c>
      <c r="Q63" s="2" t="inlineStr">
        <is>
          <t xml:space="preserve">Not assessed</t>
        </is>
      </c>
      <c r="R63" s="2" t="inlineStr">
        <is>
          <t xml:space="preserve">Unclassified</t>
        </is>
      </c>
      <c r="S63" s="2" t="inlineStr">
        <is>
          <t xml:space="preserve">Not started</t>
        </is>
      </c>
    </row>
    <row r="64">
      <c r="A64" s="2" t="inlineStr">
        <is>
          <t xml:space="preserve">SODO-008</t>
        </is>
      </c>
      <c r="B64" s="2" t="inlineStr">
        <is>
          <t xml:space="preserve">SoD Overview</t>
        </is>
      </c>
      <c r="C64" s="2" t="inlineStr">
        <is>
          <t xml:space="preserve">SoD Overview › Unavailable states</t>
        </is>
      </c>
      <c r="D64" s="2" t="inlineStr">
        <is>
          <t xml:space="preserve">Disabled SoD, disabled mapping or missing sources show an explained unavailable state, never zero conflicts.</t>
        </is>
      </c>
      <c r="E64" s="2" t="inlineStr">
        <is>
          <t xml:space="preserve">Not set</t>
        </is>
      </c>
      <c r="F64" s="2" t="inlineStr">
        <is>
          <t xml:space="preserve">Not tested</t>
        </is>
      </c>
      <c r="G64" s="2" t="inlineStr">
        <is>
          <t xml:space="preserve">Pending</t>
        </is>
      </c>
      <c r="H64" s="2" t="inlineStr">
        <is>
          <t xml:space="preserve"/>
        </is>
      </c>
      <c r="I64" s="2" t="inlineStr">
        <is>
          <t xml:space="preserve"/>
        </is>
      </c>
      <c r="J64" s="2" t="inlineStr">
        <is>
          <t xml:space="preserve"/>
        </is>
      </c>
      <c r="K64" s="2" t="inlineStr">
        <is>
          <t xml:space="preserve"/>
        </is>
      </c>
      <c r="L64" s="2" t="inlineStr">
        <is>
          <t xml:space="preserve"/>
        </is>
      </c>
      <c r="M64" s="2" t="inlineStr">
        <is>
          <t xml:space="preserve"/>
        </is>
      </c>
      <c r="N64" s="2" t="inlineStr">
        <is>
          <t xml:space="preserve"/>
        </is>
      </c>
      <c r="O64" s="2" t="inlineStr">
        <is>
          <t xml:space="preserve"/>
        </is>
      </c>
      <c r="P64" s="2" t="inlineStr">
        <is>
          <t xml:space="preserve">docs/features/SOD.md; frontend/tests/sod-feature.spec.ts, frontend/tests/sod-dashboard-startup.spec.ts</t>
        </is>
      </c>
      <c r="Q64" s="2" t="inlineStr">
        <is>
          <t xml:space="preserve">Not assessed</t>
        </is>
      </c>
      <c r="R64" s="2" t="inlineStr">
        <is>
          <t xml:space="preserve">Unclassified</t>
        </is>
      </c>
      <c r="S64" s="2" t="inlineStr">
        <is>
          <t xml:space="preserve">Not started</t>
        </is>
      </c>
    </row>
    <row r="65">
      <c r="A65" s="2" t="inlineStr">
        <is>
          <t xml:space="preserve">R7-04</t>
        </is>
      </c>
      <c r="B65" s="2" t="inlineStr">
        <is>
          <t xml:space="preserve">SoD Overview</t>
        </is>
      </c>
      <c r="C65" s="2" t="inlineStr">
        <is>
          <t xml:space="preserve">SoD Overview, Conflicts by SAP User Group › Expanded by default and collapsible</t>
        </is>
      </c>
      <c r="D65" s="2" t="inlineStr">
        <is>
          <t xml:space="preserve">The section is expanded in a new session, can be collapsed and expanded with header and chevron as one toggle (aria-expanded, keyboard, rounded focus ring), keeps its state across SoD tabs in the session and is expanded again in a new session.</t>
        </is>
      </c>
      <c r="E65" s="2" t="inlineStr">
        <is>
          <t xml:space="preserve">Not set</t>
        </is>
      </c>
      <c r="F65" s="2" t="inlineStr">
        <is>
          <t xml:space="preserve">Not tested</t>
        </is>
      </c>
      <c r="G65" s="2" t="inlineStr">
        <is>
          <t xml:space="preserve">Pending</t>
        </is>
      </c>
      <c r="H65" s="2" t="inlineStr">
        <is>
          <t xml:space="preserve">frontend/tests/sod-shared-heatmap.spec.ts</t>
        </is>
      </c>
      <c r="I65" s="2" t="inlineStr">
        <is>
          <t xml:space="preserve"/>
        </is>
      </c>
      <c r="J65" s="2" t="inlineStr">
        <is>
          <t xml:space="preserve"/>
        </is>
      </c>
      <c r="K65" s="2" t="inlineStr">
        <is>
          <t xml:space="preserve">Root cause: the choice was stored in localStorage, so one collapse stayed collapsed forever. It now uses sessionStorage.</t>
        </is>
      </c>
      <c r="L65" s="2" t="inlineStr">
        <is>
          <t xml:space="preserve"/>
        </is>
      </c>
      <c r="M65" s="2" t="inlineStr">
        <is>
          <t xml:space="preserve"/>
        </is>
      </c>
      <c r="N65" s="2" t="inlineStr">
        <is>
          <t xml:space="preserve">Close and reopen the desktop application and confirm the section is expanded again.</t>
        </is>
      </c>
      <c r="O65" s="2" t="inlineStr">
        <is>
          <t xml:space="preserve">A page reload inside one window keeps the choice (session storage).</t>
        </is>
      </c>
      <c r="P65" s="2" t="inlineStr">
        <is>
          <t xml:space="preserve">frontend/src/lib/localPreference.ts; frontend/src/components/Sod/SodGroupHeatmap.tsx</t>
        </is>
      </c>
      <c r="Q65" s="2" t="inlineStr">
        <is>
          <t xml:space="preserve">Implemented</t>
        </is>
      </c>
      <c r="R65" s="2" t="inlineStr">
        <is>
          <t xml:space="preserve">Unclassified</t>
        </is>
      </c>
      <c r="S65" s="2" t="inlineStr">
        <is>
          <t xml:space="preserve">Not started</t>
        </is>
      </c>
    </row>
    <row r="66">
      <c r="A66" s="2" t="inlineStr">
        <is>
          <t xml:space="preserve">SODM-001</t>
        </is>
      </c>
      <c r="B66" s="2" t="inlineStr">
        <is>
          <t xml:space="preserve">Risk Matrix</t>
        </is>
      </c>
      <c r="C66" s="2" t="inlineStr">
        <is>
          <t xml:space="preserve">Risk and Activity Matrix › Identity column</t>
        </is>
      </c>
      <c r="D66" s="2" t="inlineStr">
        <is>
          <t xml:space="preserve">SAP username as a copyable codeblock with the SAP User Group beneath in smaller text.</t>
        </is>
      </c>
      <c r="E66" s="2" t="inlineStr">
        <is>
          <t xml:space="preserve">Not set</t>
        </is>
      </c>
      <c r="F66" s="2" t="inlineStr">
        <is>
          <t xml:space="preserve">Not tested</t>
        </is>
      </c>
      <c r="G66" s="2" t="inlineStr">
        <is>
          <t xml:space="preserve">Pending</t>
        </is>
      </c>
      <c r="H66" s="2" t="inlineStr">
        <is>
          <t xml:space="preserve"/>
        </is>
      </c>
      <c r="I66" s="2" t="inlineStr">
        <is>
          <t xml:space="preserve"/>
        </is>
      </c>
      <c r="J66" s="2" t="inlineStr">
        <is>
          <t xml:space="preserve"/>
        </is>
      </c>
      <c r="K66" s="2" t="inlineStr">
        <is>
          <t xml:space="preserve"/>
        </is>
      </c>
      <c r="L66" s="2" t="inlineStr">
        <is>
          <t xml:space="preserve"/>
        </is>
      </c>
      <c r="M66" s="2" t="inlineStr">
        <is>
          <t xml:space="preserve"/>
        </is>
      </c>
      <c r="N66" s="2" t="inlineStr">
        <is>
          <t xml:space="preserve"/>
        </is>
      </c>
      <c r="O66" s="2" t="inlineStr">
        <is>
          <t xml:space="preserve"/>
        </is>
      </c>
      <c r="P66" s="2" t="inlineStr">
        <is>
          <t xml:space="preserve">docs/features/SOD.md; frontend/tests/sod-matrix-grouping.spec.ts</t>
        </is>
      </c>
      <c r="Q66" s="2" t="inlineStr">
        <is>
          <t xml:space="preserve">Not assessed</t>
        </is>
      </c>
      <c r="R66" s="2" t="inlineStr">
        <is>
          <t xml:space="preserve">Unclassified</t>
        </is>
      </c>
      <c r="S66" s="2" t="inlineStr">
        <is>
          <t xml:space="preserve">Not started</t>
        </is>
      </c>
    </row>
    <row r="67">
      <c r="A67" s="2" t="inlineStr">
        <is>
          <t xml:space="preserve">SODM-002</t>
        </is>
      </c>
      <c r="B67" s="2" t="inlineStr">
        <is>
          <t xml:space="preserve">Risk Matrix</t>
        </is>
      </c>
      <c r="C67" s="2" t="inlineStr">
        <is>
          <t xml:space="preserve">Risk and Activity Matrix › Sticky first column</t>
        </is>
      </c>
      <c r="D67" s="2" t="inlineStr">
        <is>
          <t xml:space="preserve">The first column stays pinned with opaque background and correct stacking while scrolling sideways.</t>
        </is>
      </c>
      <c r="E67" s="2" t="inlineStr">
        <is>
          <t xml:space="preserve">Not set</t>
        </is>
      </c>
      <c r="F67" s="2" t="inlineStr">
        <is>
          <t xml:space="preserve">Not tested</t>
        </is>
      </c>
      <c r="G67" s="2" t="inlineStr">
        <is>
          <t xml:space="preserve">Pending</t>
        </is>
      </c>
      <c r="H67" s="2" t="inlineStr">
        <is>
          <t xml:space="preserve"/>
        </is>
      </c>
      <c r="I67" s="2" t="inlineStr">
        <is>
          <t xml:space="preserve"/>
        </is>
      </c>
      <c r="J67" s="2" t="inlineStr">
        <is>
          <t xml:space="preserve"/>
        </is>
      </c>
      <c r="K67" s="2" t="inlineStr">
        <is>
          <t xml:space="preserve"/>
        </is>
      </c>
      <c r="L67" s="2" t="inlineStr">
        <is>
          <t xml:space="preserve"/>
        </is>
      </c>
      <c r="M67" s="2" t="inlineStr">
        <is>
          <t xml:space="preserve"/>
        </is>
      </c>
      <c r="N67" s="2" t="inlineStr">
        <is>
          <t xml:space="preserve"/>
        </is>
      </c>
      <c r="O67" s="2" t="inlineStr">
        <is>
          <t xml:space="preserve"/>
        </is>
      </c>
      <c r="P67" s="2" t="inlineStr">
        <is>
          <t xml:space="preserve">docs/features/SOD.md; frontend/tests/sod-matrix-grouping.spec.ts</t>
        </is>
      </c>
      <c r="Q67" s="2" t="inlineStr">
        <is>
          <t xml:space="preserve">Not assessed</t>
        </is>
      </c>
      <c r="R67" s="2" t="inlineStr">
        <is>
          <t xml:space="preserve">Unclassified</t>
        </is>
      </c>
      <c r="S67" s="2" t="inlineStr">
        <is>
          <t xml:space="preserve">Not started</t>
        </is>
      </c>
    </row>
    <row r="68">
      <c r="A68" s="2" t="inlineStr">
        <is>
          <t xml:space="preserve">SODM-003</t>
        </is>
      </c>
      <c r="B68" s="2" t="inlineStr">
        <is>
          <t xml:space="preserve">Risk Matrix</t>
        </is>
      </c>
      <c r="C68" s="2" t="inlineStr">
        <is>
          <t xml:space="preserve">Risk and Activity Matrix › Group by SAP User Group</t>
        </is>
      </c>
      <c r="D68" s="2" t="inlineStr">
        <is>
          <t xml:space="preserve">No grouping is the default; grouping lists each user once under a group header with distinct users and finding counts.</t>
        </is>
      </c>
      <c r="E68" s="2" t="inlineStr">
        <is>
          <t xml:space="preserve">Not set</t>
        </is>
      </c>
      <c r="F68" s="2" t="inlineStr">
        <is>
          <t xml:space="preserve">Not tested</t>
        </is>
      </c>
      <c r="G68" s="2" t="inlineStr">
        <is>
          <t xml:space="preserve">Pending</t>
        </is>
      </c>
      <c r="H68" s="2" t="inlineStr">
        <is>
          <t xml:space="preserve"/>
        </is>
      </c>
      <c r="I68" s="2" t="inlineStr">
        <is>
          <t xml:space="preserve"/>
        </is>
      </c>
      <c r="J68" s="2" t="inlineStr">
        <is>
          <t xml:space="preserve"/>
        </is>
      </c>
      <c r="K68" s="2" t="inlineStr">
        <is>
          <t xml:space="preserve"/>
        </is>
      </c>
      <c r="L68" s="2" t="inlineStr">
        <is>
          <t xml:space="preserve"/>
        </is>
      </c>
      <c r="M68" s="2" t="inlineStr">
        <is>
          <t xml:space="preserve"/>
        </is>
      </c>
      <c r="N68" s="2" t="inlineStr">
        <is>
          <t xml:space="preserve"/>
        </is>
      </c>
      <c r="O68" s="2" t="inlineStr">
        <is>
          <t xml:space="preserve"/>
        </is>
      </c>
      <c r="P68" s="2" t="inlineStr">
        <is>
          <t xml:space="preserve">docs/features/SOD.md; frontend/tests/sod-matrix-grouping.spec.ts</t>
        </is>
      </c>
      <c r="Q68" s="2" t="inlineStr">
        <is>
          <t xml:space="preserve">Not assessed</t>
        </is>
      </c>
      <c r="R68" s="2" t="inlineStr">
        <is>
          <t xml:space="preserve">Unclassified</t>
        </is>
      </c>
      <c r="S68" s="2" t="inlineStr">
        <is>
          <t xml:space="preserve">Not started</t>
        </is>
      </c>
    </row>
    <row r="69">
      <c r="A69" s="2" t="inlineStr">
        <is>
          <t xml:space="preserve">SODM-004</t>
        </is>
      </c>
      <c r="B69" s="2" t="inlineStr">
        <is>
          <t xml:space="preserve">Risk Matrix</t>
        </is>
      </c>
      <c r="C69" s="2" t="inlineStr">
        <is>
          <t xml:space="preserve">Risk and Activity Matrix › Collapse and expand groups</t>
        </is>
      </c>
      <c r="D69" s="2" t="inlineStr">
        <is>
          <t xml:space="preserve">Groups collapse individually or all at once and keep their state across paging.</t>
        </is>
      </c>
      <c r="E69" s="2" t="inlineStr">
        <is>
          <t xml:space="preserve">Not set</t>
        </is>
      </c>
      <c r="F69" s="2" t="inlineStr">
        <is>
          <t xml:space="preserve">Not tested</t>
        </is>
      </c>
      <c r="G69" s="2" t="inlineStr">
        <is>
          <t xml:space="preserve">Pending</t>
        </is>
      </c>
      <c r="H69" s="2" t="inlineStr">
        <is>
          <t xml:space="preserve"/>
        </is>
      </c>
      <c r="I69" s="2" t="inlineStr">
        <is>
          <t xml:space="preserve"/>
        </is>
      </c>
      <c r="J69" s="2" t="inlineStr">
        <is>
          <t xml:space="preserve"/>
        </is>
      </c>
      <c r="K69" s="2" t="inlineStr">
        <is>
          <t xml:space="preserve"/>
        </is>
      </c>
      <c r="L69" s="2" t="inlineStr">
        <is>
          <t xml:space="preserve"/>
        </is>
      </c>
      <c r="M69" s="2" t="inlineStr">
        <is>
          <t xml:space="preserve"/>
        </is>
      </c>
      <c r="N69" s="2" t="inlineStr">
        <is>
          <t xml:space="preserve"/>
        </is>
      </c>
      <c r="O69" s="2" t="inlineStr">
        <is>
          <t xml:space="preserve"/>
        </is>
      </c>
      <c r="P69" s="2" t="inlineStr">
        <is>
          <t xml:space="preserve">docs/features/SOD.md; frontend/tests/sod-matrix-grouping.spec.ts</t>
        </is>
      </c>
      <c r="Q69" s="2" t="inlineStr">
        <is>
          <t xml:space="preserve">Not assessed</t>
        </is>
      </c>
      <c r="R69" s="2" t="inlineStr">
        <is>
          <t xml:space="preserve">Unclassified</t>
        </is>
      </c>
      <c r="S69" s="2" t="inlineStr">
        <is>
          <t xml:space="preserve">Not started</t>
        </is>
      </c>
    </row>
    <row r="70">
      <c r="A70" s="2" t="inlineStr">
        <is>
          <t xml:space="preserve">SODM-005</t>
        </is>
      </c>
      <c r="B70" s="2" t="inlineStr">
        <is>
          <t xml:space="preserve">Risk Matrix</t>
        </is>
      </c>
      <c r="C70" s="2" t="inlineStr">
        <is>
          <t xml:space="preserve">Risk and Activity Matrix › Paging with grouping</t>
        </is>
      </c>
      <c r="D70" s="2" t="inlineStr">
        <is>
          <t xml:space="preserve">Paging counts users, group totals cover the whole filtered scope and a continued group is marked.</t>
        </is>
      </c>
      <c r="E70" s="2" t="inlineStr">
        <is>
          <t xml:space="preserve">Not set</t>
        </is>
      </c>
      <c r="F70" s="2" t="inlineStr">
        <is>
          <t xml:space="preserve">Not tested</t>
        </is>
      </c>
      <c r="G70" s="2" t="inlineStr">
        <is>
          <t xml:space="preserve">Pending</t>
        </is>
      </c>
      <c r="H70" s="2" t="inlineStr">
        <is>
          <t xml:space="preserve"/>
        </is>
      </c>
      <c r="I70" s="2" t="inlineStr">
        <is>
          <t xml:space="preserve"/>
        </is>
      </c>
      <c r="J70" s="2" t="inlineStr">
        <is>
          <t xml:space="preserve"/>
        </is>
      </c>
      <c r="K70" s="2" t="inlineStr">
        <is>
          <t xml:space="preserve"/>
        </is>
      </c>
      <c r="L70" s="2" t="inlineStr">
        <is>
          <t xml:space="preserve"/>
        </is>
      </c>
      <c r="M70" s="2" t="inlineStr">
        <is>
          <t xml:space="preserve"/>
        </is>
      </c>
      <c r="N70" s="2" t="inlineStr">
        <is>
          <t xml:space="preserve"/>
        </is>
      </c>
      <c r="O70" s="2" t="inlineStr">
        <is>
          <t xml:space="preserve"/>
        </is>
      </c>
      <c r="P70" s="2" t="inlineStr">
        <is>
          <t xml:space="preserve">docs/features/SOD.md; frontend/tests/sod-matrix-grouping.spec.ts</t>
        </is>
      </c>
      <c r="Q70" s="2" t="inlineStr">
        <is>
          <t xml:space="preserve">Not assessed</t>
        </is>
      </c>
      <c r="R70" s="2" t="inlineStr">
        <is>
          <t xml:space="preserve">Unclassified</t>
        </is>
      </c>
      <c r="S70" s="2" t="inlineStr">
        <is>
          <t xml:space="preserve">Not started</t>
        </is>
      </c>
    </row>
    <row r="71">
      <c r="A71" s="2" t="inlineStr">
        <is>
          <t xml:space="preserve">SODM-006</t>
        </is>
      </c>
      <c r="B71" s="2" t="inlineStr">
        <is>
          <t xml:space="preserve">Risk Matrix</t>
        </is>
      </c>
      <c r="C71" s="2" t="inlineStr">
        <is>
          <t xml:space="preserve">Risk and Activity Matrix › SAP User Group multi-select</t>
        </is>
      </c>
      <c r="D71" s="2" t="inlineStr">
        <is>
          <t xml:space="preserve">Several groups can be selected with the list open; works with grouping and other filters; saved filters load.</t>
        </is>
      </c>
      <c r="E71" s="2" t="inlineStr">
        <is>
          <t xml:space="preserve">Not set</t>
        </is>
      </c>
      <c r="F71" s="2" t="inlineStr">
        <is>
          <t xml:space="preserve">Not tested</t>
        </is>
      </c>
      <c r="G71" s="2" t="inlineStr">
        <is>
          <t xml:space="preserve">Pending</t>
        </is>
      </c>
      <c r="H71" s="2" t="inlineStr">
        <is>
          <t xml:space="preserve"/>
        </is>
      </c>
      <c r="I71" s="2" t="inlineStr">
        <is>
          <t xml:space="preserve"/>
        </is>
      </c>
      <c r="J71" s="2" t="inlineStr">
        <is>
          <t xml:space="preserve"/>
        </is>
      </c>
      <c r="K71" s="2" t="inlineStr">
        <is>
          <t xml:space="preserve"/>
        </is>
      </c>
      <c r="L71" s="2" t="inlineStr">
        <is>
          <t xml:space="preserve"/>
        </is>
      </c>
      <c r="M71" s="2" t="inlineStr">
        <is>
          <t xml:space="preserve"/>
        </is>
      </c>
      <c r="N71" s="2" t="inlineStr">
        <is>
          <t xml:space="preserve"/>
        </is>
      </c>
      <c r="O71" s="2" t="inlineStr">
        <is>
          <t xml:space="preserve"/>
        </is>
      </c>
      <c r="P71" s="2" t="inlineStr">
        <is>
          <t xml:space="preserve">docs/features/SOD.md; frontend/tests/sod-matrix-grouping.spec.ts</t>
        </is>
      </c>
      <c r="Q71" s="2" t="inlineStr">
        <is>
          <t xml:space="preserve">Not assessed</t>
        </is>
      </c>
      <c r="R71" s="2" t="inlineStr">
        <is>
          <t xml:space="preserve">Unclassified</t>
        </is>
      </c>
      <c r="S71" s="2" t="inlineStr">
        <is>
          <t xml:space="preserve">Not started</t>
        </is>
      </c>
    </row>
    <row r="72">
      <c r="A72" s="2" t="inlineStr">
        <is>
          <t xml:space="preserve">SODM-007</t>
        </is>
      </c>
      <c r="B72" s="2" t="inlineStr">
        <is>
          <t xml:space="preserve">Risk Matrix</t>
        </is>
      </c>
      <c r="C72" s="2" t="inlineStr">
        <is>
          <t xml:space="preserve">Risk and Activity Matrix › Status tiles</t>
        </is>
      </c>
      <c r="D72" s="2" t="inlineStr">
        <is>
          <t xml:space="preserve">Tiles filter by review status, combine with sidebar filters and reset together.</t>
        </is>
      </c>
      <c r="E72" s="2" t="inlineStr">
        <is>
          <t xml:space="preserve">Not set</t>
        </is>
      </c>
      <c r="F72" s="2" t="inlineStr">
        <is>
          <t xml:space="preserve">Not tested</t>
        </is>
      </c>
      <c r="G72" s="2" t="inlineStr">
        <is>
          <t xml:space="preserve">Pending</t>
        </is>
      </c>
      <c r="H72" s="2" t="inlineStr">
        <is>
          <t xml:space="preserve"/>
        </is>
      </c>
      <c r="I72" s="2" t="inlineStr">
        <is>
          <t xml:space="preserve"/>
        </is>
      </c>
      <c r="J72" s="2" t="inlineStr">
        <is>
          <t xml:space="preserve"/>
        </is>
      </c>
      <c r="K72" s="2" t="inlineStr">
        <is>
          <t xml:space="preserve"/>
        </is>
      </c>
      <c r="L72" s="2" t="inlineStr">
        <is>
          <t xml:space="preserve"/>
        </is>
      </c>
      <c r="M72" s="2" t="inlineStr">
        <is>
          <t xml:space="preserve"/>
        </is>
      </c>
      <c r="N72" s="2" t="inlineStr">
        <is>
          <t xml:space="preserve"/>
        </is>
      </c>
      <c r="O72" s="2" t="inlineStr">
        <is>
          <t xml:space="preserve"/>
        </is>
      </c>
      <c r="P72" s="2" t="inlineStr">
        <is>
          <t xml:space="preserve">docs/features/SOD.md; frontend/tests/sod-filters-tiles.spec.ts</t>
        </is>
      </c>
      <c r="Q72" s="2" t="inlineStr">
        <is>
          <t xml:space="preserve">Not assessed</t>
        </is>
      </c>
      <c r="R72" s="2" t="inlineStr">
        <is>
          <t xml:space="preserve">Unclassified</t>
        </is>
      </c>
      <c r="S72" s="2" t="inlineStr">
        <is>
          <t xml:space="preserve">Not started</t>
        </is>
      </c>
    </row>
    <row r="73">
      <c r="A73" s="2" t="inlineStr">
        <is>
          <t xml:space="preserve">SODM-008</t>
        </is>
      </c>
      <c r="B73" s="2" t="inlineStr">
        <is>
          <t xml:space="preserve">Risk Matrix</t>
        </is>
      </c>
      <c r="C73" s="2" t="inlineStr">
        <is>
          <t xml:space="preserve">Risk and Activity Matrix › Cell investigation</t>
        </is>
      </c>
      <c r="D73" s="2" t="inlineStr">
        <is>
          <t xml:space="preserve">Cells open the investigation; arrow keys, Home and End move between detected cells.</t>
        </is>
      </c>
      <c r="E73" s="2" t="inlineStr">
        <is>
          <t xml:space="preserve">Not set</t>
        </is>
      </c>
      <c r="F73" s="2" t="inlineStr">
        <is>
          <t xml:space="preserve">Not tested</t>
        </is>
      </c>
      <c r="G73" s="2" t="inlineStr">
        <is>
          <t xml:space="preserve">Pending</t>
        </is>
      </c>
      <c r="H73" s="2" t="inlineStr">
        <is>
          <t xml:space="preserve"/>
        </is>
      </c>
      <c r="I73" s="2" t="inlineStr">
        <is>
          <t xml:space="preserve"/>
        </is>
      </c>
      <c r="J73" s="2" t="inlineStr">
        <is>
          <t xml:space="preserve"/>
        </is>
      </c>
      <c r="K73" s="2" t="inlineStr">
        <is>
          <t xml:space="preserve"/>
        </is>
      </c>
      <c r="L73" s="2" t="inlineStr">
        <is>
          <t xml:space="preserve"/>
        </is>
      </c>
      <c r="M73" s="2" t="inlineStr">
        <is>
          <t xml:space="preserve"/>
        </is>
      </c>
      <c r="N73" s="2" t="inlineStr">
        <is>
          <t xml:space="preserve"/>
        </is>
      </c>
      <c r="O73" s="2" t="inlineStr">
        <is>
          <t xml:space="preserve"/>
        </is>
      </c>
      <c r="P73" s="2" t="inlineStr">
        <is>
          <t xml:space="preserve">docs/features/SOD.md; frontend/tests/sod-governance.spec.ts</t>
        </is>
      </c>
      <c r="Q73" s="2" t="inlineStr">
        <is>
          <t xml:space="preserve">Not assessed</t>
        </is>
      </c>
      <c r="R73" s="2" t="inlineStr">
        <is>
          <t xml:space="preserve">Unclassified</t>
        </is>
      </c>
      <c r="S73" s="2" t="inlineStr">
        <is>
          <t xml:space="preserve">Not started</t>
        </is>
      </c>
    </row>
    <row r="74">
      <c r="A74" s="2" t="inlineStr">
        <is>
          <t xml:space="preserve">SODM-009</t>
        </is>
      </c>
      <c r="B74" s="2" t="inlineStr">
        <is>
          <t xml:space="preserve">Risk Matrix</t>
        </is>
      </c>
      <c r="C74" s="2" t="inlineStr">
        <is>
          <t xml:space="preserve">Risk and Activity Matrix › Export scope</t>
        </is>
      </c>
      <c r="D74" s="2" t="inlineStr">
        <is>
          <t xml:space="preserve">Matrix CSV export follows the active filters and is identical with and without grouping.</t>
        </is>
      </c>
      <c r="E74" s="2" t="inlineStr">
        <is>
          <t xml:space="preserve">Not set</t>
        </is>
      </c>
      <c r="F74" s="2" t="inlineStr">
        <is>
          <t xml:space="preserve">Not tested</t>
        </is>
      </c>
      <c r="G74" s="2" t="inlineStr">
        <is>
          <t xml:space="preserve">Pending</t>
        </is>
      </c>
      <c r="H74" s="2" t="inlineStr">
        <is>
          <t xml:space="preserve"/>
        </is>
      </c>
      <c r="I74" s="2" t="inlineStr">
        <is>
          <t xml:space="preserve"/>
        </is>
      </c>
      <c r="J74" s="2" t="inlineStr">
        <is>
          <t xml:space="preserve"/>
        </is>
      </c>
      <c r="K74" s="2" t="inlineStr">
        <is>
          <t xml:space="preserve"/>
        </is>
      </c>
      <c r="L74" s="2" t="inlineStr">
        <is>
          <t xml:space="preserve"/>
        </is>
      </c>
      <c r="M74" s="2" t="inlineStr">
        <is>
          <t xml:space="preserve"/>
        </is>
      </c>
      <c r="N74" s="2" t="inlineStr">
        <is>
          <t xml:space="preserve"/>
        </is>
      </c>
      <c r="O74" s="2" t="inlineStr">
        <is>
          <t xml:space="preserve"/>
        </is>
      </c>
      <c r="P74" s="2" t="inlineStr">
        <is>
          <t xml:space="preserve">docs/features/SOD.md; frontend/tests/sod-matrix-grouping.spec.ts, frontend/tests/sod-export-ux.spec.ts</t>
        </is>
      </c>
      <c r="Q74" s="2" t="inlineStr">
        <is>
          <t xml:space="preserve">Not assessed</t>
        </is>
      </c>
      <c r="R74" s="2" t="inlineStr">
        <is>
          <t xml:space="preserve">Unclassified</t>
        </is>
      </c>
      <c r="S74" s="2" t="inlineStr">
        <is>
          <t xml:space="preserve">Not started</t>
        </is>
      </c>
    </row>
    <row r="75">
      <c r="A75" s="2" t="inlineStr">
        <is>
          <t xml:space="preserve">SODM-010</t>
        </is>
      </c>
      <c r="B75" s="2" t="inlineStr">
        <is>
          <t xml:space="preserve">Risk Matrix</t>
        </is>
      </c>
      <c r="C75" s="2" t="inlineStr">
        <is>
          <t xml:space="preserve">Risk and Activity Matrix › Decisions preserved</t>
        </is>
      </c>
      <c r="D75" s="2" t="inlineStr">
        <is>
          <t xml:space="preserve">Review decisions look the same in grouped and plain views and are never changed by grouping.</t>
        </is>
      </c>
      <c r="E75" s="2" t="inlineStr">
        <is>
          <t xml:space="preserve">Not set</t>
        </is>
      </c>
      <c r="F75" s="2" t="inlineStr">
        <is>
          <t xml:space="preserve">Not tested</t>
        </is>
      </c>
      <c r="G75" s="2" t="inlineStr">
        <is>
          <t xml:space="preserve">Pending</t>
        </is>
      </c>
      <c r="H75" s="2" t="inlineStr">
        <is>
          <t xml:space="preserve"/>
        </is>
      </c>
      <c r="I75" s="2" t="inlineStr">
        <is>
          <t xml:space="preserve"/>
        </is>
      </c>
      <c r="J75" s="2" t="inlineStr">
        <is>
          <t xml:space="preserve"/>
        </is>
      </c>
      <c r="K75" s="2" t="inlineStr">
        <is>
          <t xml:space="preserve"/>
        </is>
      </c>
      <c r="L75" s="2" t="inlineStr">
        <is>
          <t xml:space="preserve"/>
        </is>
      </c>
      <c r="M75" s="2" t="inlineStr">
        <is>
          <t xml:space="preserve"/>
        </is>
      </c>
      <c r="N75" s="2" t="inlineStr">
        <is>
          <t xml:space="preserve"/>
        </is>
      </c>
      <c r="O75" s="2" t="inlineStr">
        <is>
          <t xml:space="preserve"/>
        </is>
      </c>
      <c r="P75" s="2" t="inlineStr">
        <is>
          <t xml:space="preserve">docs/features/SOD.md; frontend/tests/sod-matrix-grouping.spec.ts</t>
        </is>
      </c>
      <c r="Q75" s="2" t="inlineStr">
        <is>
          <t xml:space="preserve">Not assessed</t>
        </is>
      </c>
      <c r="R75" s="2" t="inlineStr">
        <is>
          <t xml:space="preserve">Unclassified</t>
        </is>
      </c>
      <c r="S75" s="2" t="inlineStr">
        <is>
          <t xml:space="preserve">Not started</t>
        </is>
      </c>
    </row>
    <row r="76">
      <c r="A76" s="2" t="inlineStr">
        <is>
          <t xml:space="preserve">SODM-011</t>
        </is>
      </c>
      <c r="B76" s="2" t="inlineStr">
        <is>
          <t xml:space="preserve">Risk Matrix</t>
        </is>
      </c>
      <c r="C76" s="2" t="inlineStr">
        <is>
          <t xml:space="preserve">Risk and Activity Matrix › Wide matrices</t>
        </is>
      </c>
      <c r="D76" s="2" t="inlineStr">
        <is>
          <t xml:space="preserve">Columns beyond 48 are windowed without losing keyboard navigation or scroll position.</t>
        </is>
      </c>
      <c r="E76" s="2" t="inlineStr">
        <is>
          <t xml:space="preserve">Not set</t>
        </is>
      </c>
      <c r="F76" s="2" t="inlineStr">
        <is>
          <t xml:space="preserve">Not tested</t>
        </is>
      </c>
      <c r="G76" s="2" t="inlineStr">
        <is>
          <t xml:space="preserve">Pending</t>
        </is>
      </c>
      <c r="H76" s="2" t="inlineStr">
        <is>
          <t xml:space="preserve"/>
        </is>
      </c>
      <c r="I76" s="2" t="inlineStr">
        <is>
          <t xml:space="preserve"/>
        </is>
      </c>
      <c r="J76" s="2" t="inlineStr">
        <is>
          <t xml:space="preserve"/>
        </is>
      </c>
      <c r="K76" s="2" t="inlineStr">
        <is>
          <t xml:space="preserve"/>
        </is>
      </c>
      <c r="L76" s="2" t="inlineStr">
        <is>
          <t xml:space="preserve"/>
        </is>
      </c>
      <c r="M76" s="2" t="inlineStr">
        <is>
          <t xml:space="preserve"/>
        </is>
      </c>
      <c r="N76" s="2" t="inlineStr">
        <is>
          <t xml:space="preserve"/>
        </is>
      </c>
      <c r="O76" s="2" t="inlineStr">
        <is>
          <t xml:space="preserve"/>
        </is>
      </c>
      <c r="P76" s="2" t="inlineStr">
        <is>
          <t xml:space="preserve">docs/features/SOD.md; frontend/tests/sod-layout.spec.ts</t>
        </is>
      </c>
      <c r="Q76" s="2" t="inlineStr">
        <is>
          <t xml:space="preserve">Not assessed</t>
        </is>
      </c>
      <c r="R76" s="2" t="inlineStr">
        <is>
          <t xml:space="preserve">Unclassified</t>
        </is>
      </c>
      <c r="S76" s="2" t="inlineStr">
        <is>
          <t xml:space="preserve">Not started</t>
        </is>
      </c>
    </row>
    <row r="77">
      <c r="A77" s="2" t="inlineStr">
        <is>
          <t xml:space="preserve">SODM-012</t>
        </is>
      </c>
      <c r="B77" s="2" t="inlineStr">
        <is>
          <t xml:space="preserve">Risk Matrix</t>
        </is>
      </c>
      <c r="C77" s="2" t="inlineStr">
        <is>
          <t xml:space="preserve">Risk and Activity Matrix › User identity column and grouping (completion)</t>
        </is>
      </c>
      <c r="D77" s="2" t="inlineStr">
        <is>
          <t xml:space="preserve">The first column is a compact, sticky copyable username on one line (the SAP User Group has its own column, see SODM-016); Group by (No grouping default, SAP User Group) gives collapsible groups with distinct user and finding counts, each user once, compatible with sorting, filtering, paging and multi-select group filtering.</t>
        </is>
      </c>
      <c r="E77" s="2" t="inlineStr">
        <is>
          <t xml:space="preserve">Not set</t>
        </is>
      </c>
      <c r="F77" s="2" t="inlineStr">
        <is>
          <t xml:space="preserve">Not tested</t>
        </is>
      </c>
      <c r="G77" s="2" t="inlineStr">
        <is>
          <t xml:space="preserve">Pending</t>
        </is>
      </c>
      <c r="H77" s="2" t="inlineStr">
        <is>
          <t xml:space="preserve">frontend/tests/sod-matrix-grouping.spec.ts; backend/tests/test_sod_governance.py</t>
        </is>
      </c>
      <c r="I77" s="2" t="inlineStr">
        <is>
          <t xml:space="preserve"/>
        </is>
      </c>
      <c r="J77" s="2" t="inlineStr">
        <is>
          <t xml:space="preserve"/>
        </is>
      </c>
      <c r="K77" s="2" t="inlineStr">
        <is>
          <t xml:space="preserve"/>
        </is>
      </c>
      <c r="L77" s="2" t="inlineStr">
        <is>
          <t xml:space="preserve"/>
        </is>
      </c>
      <c r="M77" s="2" t="inlineStr">
        <is>
          <t xml:space="preserve"/>
        </is>
      </c>
      <c r="N77" s="2" t="inlineStr">
        <is>
          <t xml:space="preserve"/>
        </is>
      </c>
      <c r="O77" s="2" t="inlineStr">
        <is>
          <t xml:space="preserve"/>
        </is>
      </c>
      <c r="P77" s="2" t="inlineStr">
        <is>
          <t xml:space="preserve">frontend/src/components/Sod/SodMatrices.tsx; frontend/src/components/Shared/MatrixGrid.tsx; docs/features/SOD.md</t>
        </is>
      </c>
      <c r="Q77" s="2" t="inlineStr">
        <is>
          <t xml:space="preserve">Implemented</t>
        </is>
      </c>
      <c r="R77" s="2" t="inlineStr">
        <is>
          <t xml:space="preserve">Unclassified</t>
        </is>
      </c>
      <c r="S77" s="2" t="inlineStr">
        <is>
          <t xml:space="preserve">Not started</t>
        </is>
      </c>
    </row>
    <row r="78">
      <c r="A78" s="2" t="inlineStr">
        <is>
          <t xml:space="preserve">SODM-013</t>
        </is>
      </c>
      <c r="B78" s="2" t="inlineStr">
        <is>
          <t xml:space="preserve">Risk Matrix</t>
        </is>
      </c>
      <c r="C78" s="2" t="inlineStr">
        <is>
          <t xml:space="preserve">All SoD investigation pages › Shared SoD filter context</t>
        </is>
      </c>
      <c r="D78" s="2" t="inlineStr">
        <is>
          <t xml:space="preserve">SAP User Group, SAP username, risk, activity, transaction code, business area and assigned role follow the user across the SoD pages that offer them without an Apply step; unsupported selections stay stored; local filters stay independent; Clear page filters and Clear all SoD filters differ; the review context is separate.</t>
        </is>
      </c>
      <c r="E78" s="2" t="inlineStr">
        <is>
          <t xml:space="preserve">Not set</t>
        </is>
      </c>
      <c r="F78" s="2" t="inlineStr">
        <is>
          <t xml:space="preserve">Not tested</t>
        </is>
      </c>
      <c r="G78" s="2" t="inlineStr">
        <is>
          <t xml:space="preserve">Pending</t>
        </is>
      </c>
      <c r="H78" s="2" t="inlineStr">
        <is>
          <t xml:space="preserve">frontend/tests/sod-shared-filters.spec.ts</t>
        </is>
      </c>
      <c r="I78" s="2" t="inlineStr">
        <is>
          <t xml:space="preserve"/>
        </is>
      </c>
      <c r="J78" s="2" t="inlineStr">
        <is>
          <t xml:space="preserve"/>
        </is>
      </c>
      <c r="K78" s="2" t="inlineStr">
        <is>
          <t xml:space="preserve"/>
        </is>
      </c>
      <c r="L78" s="2" t="inlineStr">
        <is>
          <t xml:space="preserve"/>
        </is>
      </c>
      <c r="M78" s="2" t="inlineStr">
        <is>
          <t xml:space="preserve"/>
        </is>
      </c>
      <c r="N78" s="2" t="inlineStr">
        <is>
          <t xml:space="preserve"/>
        </is>
      </c>
      <c r="O78" s="2" t="inlineStr">
        <is>
          <t xml:space="preserve"/>
        </is>
      </c>
      <c r="P78" s="2" t="inlineStr">
        <is>
          <t xml:space="preserve">frontend/src/components/Sod/SodShared.tsx; docs/features/SOD.md</t>
        </is>
      </c>
      <c r="Q78" s="2" t="inlineStr">
        <is>
          <t xml:space="preserve">Implemented</t>
        </is>
      </c>
      <c r="R78" s="2" t="inlineStr">
        <is>
          <t xml:space="preserve">Unclassified</t>
        </is>
      </c>
      <c r="S78" s="2" t="inlineStr">
        <is>
          <t xml:space="preserve">Not started</t>
        </is>
      </c>
    </row>
    <row r="79">
      <c r="A79" s="2" t="inlineStr">
        <is>
          <t xml:space="preserve">SODM-014</t>
        </is>
      </c>
      <c r="B79" s="2" t="inlineStr">
        <is>
          <t xml:space="preserve">Risk Matrix</t>
        </is>
      </c>
      <c r="C79" s="2" t="inlineStr">
        <is>
          <t xml:space="preserve">Risk and Activity Matrix › Users per page</t>
        </is>
      </c>
      <c r="D79" s="2" t="inlineStr">
        <is>
          <t xml:space="preserve">A shared Users per page control (10, 25, 50, 100, All; default 50) sits in the matrix toolbar with the sort controls, shows a range such as 1–50 of 244 users with Previous and Next, and keeps its value when switching between Risk and Activity Matrix.</t>
        </is>
      </c>
      <c r="E79" s="2" t="inlineStr">
        <is>
          <t xml:space="preserve">Not set</t>
        </is>
      </c>
      <c r="F79" s="2" t="inlineStr">
        <is>
          <t xml:space="preserve">Not tested</t>
        </is>
      </c>
      <c r="G79" s="2" t="inlineStr">
        <is>
          <t xml:space="preserve">Pending</t>
        </is>
      </c>
      <c r="H79" s="2" t="inlineStr">
        <is>
          <t xml:space="preserve">frontend/tests/sod-matrix-paging.spec.ts; backend/tests/test_sod_governance.py</t>
        </is>
      </c>
      <c r="I79" s="2" t="inlineStr">
        <is>
          <t xml:space="preserve"/>
        </is>
      </c>
      <c r="J79" s="2" t="inlineStr">
        <is>
          <t xml:space="preserve"/>
        </is>
      </c>
      <c r="K79" s="2" t="inlineStr">
        <is>
          <t xml:space="preserve"/>
        </is>
      </c>
      <c r="L79" s="2" t="inlineStr">
        <is>
          <t xml:space="preserve"/>
        </is>
      </c>
      <c r="M79" s="2" t="inlineStr">
        <is>
          <t xml:space="preserve"/>
        </is>
      </c>
      <c r="N79" s="2" t="inlineStr">
        <is>
          <t xml:space="preserve"/>
        </is>
      </c>
      <c r="O79" s="2" t="inlineStr">
        <is>
          <t xml:space="preserve"/>
        </is>
      </c>
      <c r="P79" s="2" t="inlineStr">
        <is>
          <t xml:space="preserve">frontend/src/components/Sod/SodMatrices.tsx; docs/features/SOD.md</t>
        </is>
      </c>
      <c r="Q79" s="2" t="inlineStr">
        <is>
          <t xml:space="preserve">Implemented</t>
        </is>
      </c>
      <c r="R79" s="2" t="inlineStr">
        <is>
          <t xml:space="preserve">Unclassified</t>
        </is>
      </c>
      <c r="S79" s="2" t="inlineStr">
        <is>
          <t xml:space="preserve">Not started</t>
        </is>
      </c>
    </row>
    <row r="80">
      <c r="A80" s="2" t="inlineStr">
        <is>
          <t xml:space="preserve">SODM-015</t>
        </is>
      </c>
      <c r="B80" s="2" t="inlineStr">
        <is>
          <t xml:space="preserve">Risk Matrix</t>
        </is>
      </c>
      <c r="C80" s="2" t="inlineStr">
        <is>
          <t xml:space="preserve">Risk and Activity Matrix › Pagination scope</t>
        </is>
      </c>
      <c r="D80" s="2" t="inlineStr">
        <is>
          <t xml:space="preserve">Pages apply after all filters including the shared SoD filters; a filter or grouping change returns to page 1; grouped pages never repeat a user; All lists every matching user (up to 5000, with a notice beyond that); CSV exports contain every filtered user whatever the page size.</t>
        </is>
      </c>
      <c r="E80" s="2" t="inlineStr">
        <is>
          <t xml:space="preserve">Not set</t>
        </is>
      </c>
      <c r="F80" s="2" t="inlineStr">
        <is>
          <t xml:space="preserve">Not tested</t>
        </is>
      </c>
      <c r="G80" s="2" t="inlineStr">
        <is>
          <t xml:space="preserve">Pending</t>
        </is>
      </c>
      <c r="H80" s="2" t="inlineStr">
        <is>
          <t xml:space="preserve">frontend/tests/sod-matrix-paging.spec.ts; frontend/tests/sod-matrix-grouping.spec.ts</t>
        </is>
      </c>
      <c r="I80" s="2" t="inlineStr">
        <is>
          <t xml:space="preserve"/>
        </is>
      </c>
      <c r="J80" s="2" t="inlineStr">
        <is>
          <t xml:space="preserve"/>
        </is>
      </c>
      <c r="K80" s="2" t="inlineStr">
        <is>
          <t xml:space="preserve"/>
        </is>
      </c>
      <c r="L80" s="2" t="inlineStr">
        <is>
          <t xml:space="preserve"/>
        </is>
      </c>
      <c r="M80" s="2" t="inlineStr">
        <is>
          <t xml:space="preserve"/>
        </is>
      </c>
      <c r="N80" s="2" t="inlineStr">
        <is>
          <t xml:space="preserve"/>
        </is>
      </c>
      <c r="O80" s="2" t="inlineStr">
        <is>
          <t xml:space="preserve"/>
        </is>
      </c>
      <c r="P80" s="2" t="inlineStr">
        <is>
          <t xml:space="preserve">frontend/src/components/Sod/SodMatrices.tsx; backend/routers/sod_governance.py; docs/features/SOD.md</t>
        </is>
      </c>
      <c r="Q80" s="2" t="inlineStr">
        <is>
          <t xml:space="preserve">Implemented</t>
        </is>
      </c>
      <c r="R80" s="2" t="inlineStr">
        <is>
          <t xml:space="preserve">Unclassified</t>
        </is>
      </c>
      <c r="S80" s="2" t="inlineStr">
        <is>
          <t xml:space="preserve">Not started</t>
        </is>
      </c>
    </row>
    <row r="81">
      <c r="A81" s="2" t="inlineStr">
        <is>
          <t xml:space="preserve">SODM-016</t>
        </is>
      </c>
      <c r="B81" s="2" t="inlineStr">
        <is>
          <t xml:space="preserve">Risk Matrix</t>
        </is>
      </c>
      <c r="C81" s="2" t="inlineStr">
        <is>
          <t xml:space="preserve">Risk and Activity Matrix › SAP User Group column</t>
        </is>
      </c>
      <c r="D81" s="2" t="inlineStr">
        <is>
          <t xml:space="preserve">The SAP username is one line; a dedicated SAP User Group column follows it (pinned with it above 640 px), is hidden when grouped by SAP User Group, shows a dash for a missing group, and the matrix sorts by group with missing groups last. Filters, page size, pagination and exports are unchanged.</t>
        </is>
      </c>
      <c r="E81" s="2" t="inlineStr">
        <is>
          <t xml:space="preserve">Not set</t>
        </is>
      </c>
      <c r="F81" s="2" t="inlineStr">
        <is>
          <t xml:space="preserve">Not tested</t>
        </is>
      </c>
      <c r="G81" s="2" t="inlineStr">
        <is>
          <t xml:space="preserve">Pending</t>
        </is>
      </c>
      <c r="H81" s="2" t="inlineStr">
        <is>
          <t xml:space="preserve">frontend/tests/sod-user-group-column.spec.ts; frontend/tests/sod-matrix-grouping.spec.ts; backend/tests/test_sod_governance.py</t>
        </is>
      </c>
      <c r="I81" s="2" t="inlineStr">
        <is>
          <t xml:space="preserve"/>
        </is>
      </c>
      <c r="J81" s="2" t="inlineStr">
        <is>
          <t xml:space="preserve"/>
        </is>
      </c>
      <c r="K81" s="2" t="inlineStr">
        <is>
          <t xml:space="preserve">Checked visually in light and dark at 1280 and 375 px.</t>
        </is>
      </c>
      <c r="L81" s="2" t="inlineStr">
        <is>
          <t xml:space="preserve"/>
        </is>
      </c>
      <c r="M81" s="2" t="inlineStr">
        <is>
          <t xml:space="preserve"/>
        </is>
      </c>
      <c r="N81" s="2" t="inlineStr">
        <is>
          <t xml:space="preserve">Look at both matrices in both themes: one-line usernames, aligned group column, sticky columns, narrow screens.</t>
        </is>
      </c>
      <c r="O81" s="2" t="inlineStr">
        <is>
          <t xml:space="preserve">Below 640 px the group column scrolls away while the username stays pinned.</t>
        </is>
      </c>
      <c r="P81" s="2" t="inlineStr">
        <is>
          <t xml:space="preserve">frontend/src/components/Shared/MatrixGrid.tsx; frontend/src/components/Shared/UserGroup.tsx; frontend/src/components/Sod/SodMatrices.tsx; backend/routers/sod_governance.py</t>
        </is>
      </c>
      <c r="Q81" s="2" t="inlineStr">
        <is>
          <t xml:space="preserve">Implemented</t>
        </is>
      </c>
      <c r="R81" s="2" t="inlineStr">
        <is>
          <t xml:space="preserve">Unclassified</t>
        </is>
      </c>
      <c r="S81" s="2" t="inlineStr">
        <is>
          <t xml:space="preserve">Not started</t>
        </is>
      </c>
    </row>
    <row r="82">
      <c r="A82" s="2" t="inlineStr">
        <is>
          <t xml:space="preserve">SODM-017</t>
        </is>
      </c>
      <c r="B82" s="2" t="inlineStr">
        <is>
          <t xml:space="preserve">Risk Matrix</t>
        </is>
      </c>
      <c r="C82" s="2" t="inlineStr">
        <is>
          <t xml:space="preserve">Matrices, Explorer, Reviews, investigations › Risk and activity pill descriptions</t>
        </is>
      </c>
      <c r="D82" s="2" t="inlineStr">
        <is>
          <t xml:space="preserve">Pills keep their colors, show identifier, name and a concise description on hover, and open a detail popover (keyboard operable, Escape, focus returns) with each value marked imported or local; "No description available" when none exists; pills inside controls with their own action add no nested control.</t>
        </is>
      </c>
      <c r="E82" s="2" t="inlineStr">
        <is>
          <t xml:space="preserve">Not set</t>
        </is>
      </c>
      <c r="F82" s="2" t="inlineStr">
        <is>
          <t xml:space="preserve">Not tested</t>
        </is>
      </c>
      <c r="G82" s="2" t="inlineStr">
        <is>
          <t xml:space="preserve">Pending</t>
        </is>
      </c>
      <c r="H82" s="2" t="inlineStr">
        <is>
          <t xml:space="preserve">frontend/tests/sod-metadata.spec.ts</t>
        </is>
      </c>
      <c r="I82" s="2" t="inlineStr">
        <is>
          <t xml:space="preserve"/>
        </is>
      </c>
      <c r="J82" s="2" t="inlineStr">
        <is>
          <t xml:space="preserve"/>
        </is>
      </c>
      <c r="K82" s="2" t="inlineStr">
        <is>
          <t xml:space="preserve">Checked visually in light and dark; popover shown in Access Explorer.</t>
        </is>
      </c>
      <c r="L82" s="2" t="inlineStr">
        <is>
          <t xml:space="preserve"/>
        </is>
      </c>
      <c r="M82" s="2" t="inlineStr">
        <is>
          <t xml:space="preserve"/>
        </is>
      </c>
      <c r="N82" s="2" t="inlineStr">
        <is>
          <t xml:space="preserve">Hover and open pills in the matrices, Explorer, Reviews and investigations in both themes.</t>
        </is>
      </c>
      <c r="O82" s="2" t="inlineStr">
        <is>
          <t xml:space="preserve">Pills in Reports are not part of the interface (report rendering still reads the local catalogue).</t>
        </is>
      </c>
      <c r="P82" s="2" t="inlineStr">
        <is>
          <t xml:space="preserve">frontend/src/lib/sodAppearance.tsx; frontend/src/components/Shared/Popover.tsx; docs/features/SOD.md</t>
        </is>
      </c>
      <c r="Q82" s="2" t="inlineStr">
        <is>
          <t xml:space="preserve">Implemented</t>
        </is>
      </c>
      <c r="R82" s="2" t="inlineStr">
        <is>
          <t xml:space="preserve">Unclassified</t>
        </is>
      </c>
      <c r="S82" s="2" t="inlineStr">
        <is>
          <t xml:space="preserve">Not started</t>
        </is>
      </c>
    </row>
    <row r="83">
      <c r="A83" s="2" t="inlineStr">
        <is>
          <t xml:space="preserve">SODA-001</t>
        </is>
      </c>
      <c r="B83" s="2" t="inlineStr">
        <is>
          <t xml:space="preserve">Activity Matrix</t>
        </is>
      </c>
      <c r="C83" s="2" t="inlineStr">
        <is>
          <t xml:space="preserve">Activity Matrix › Cells</t>
        </is>
      </c>
      <c r="D83" s="2" t="inlineStr">
        <is>
          <t xml:space="preserve">Cells show the activity review status and the number of supplying roles (×roles); overlapping coverage is flagged; selecting a cell opens the investigation.</t>
        </is>
      </c>
      <c r="E83" s="2" t="inlineStr">
        <is>
          <t xml:space="preserve">Medium</t>
        </is>
      </c>
      <c r="F83" s="2" t="inlineStr">
        <is>
          <t xml:space="preserve">Not tested</t>
        </is>
      </c>
      <c r="G83" s="2" t="inlineStr">
        <is>
          <t xml:space="preserve">Pending</t>
        </is>
      </c>
      <c r="H83" s="2" t="inlineStr">
        <is>
          <t xml:space="preserve">frontend/tests/sod-governance.spec.ts; backend/tests/test_sod_governance.py</t>
        </is>
      </c>
      <c r="I83" s="2" t="inlineStr">
        <is>
          <t xml:space="preserve"/>
        </is>
      </c>
      <c r="J83" s="2" t="inlineStr">
        <is>
          <t xml:space="preserve"/>
        </is>
      </c>
      <c r="K83" s="2" t="inlineStr">
        <is>
          <t xml:space="preserve"/>
        </is>
      </c>
      <c r="L83" s="2" t="inlineStr">
        <is>
          <t xml:space="preserve"/>
        </is>
      </c>
      <c r="M83" s="2" t="inlineStr">
        <is>
          <t xml:space="preserve"/>
        </is>
      </c>
      <c r="N83" s="2" t="inlineStr">
        <is>
          <t xml:space="preserve">Open the Activity Matrix with duplicate role coverage and read the cells in both themes.</t>
        </is>
      </c>
      <c r="O83" s="2" t="inlineStr">
        <is>
          <t xml:space="preserve"/>
        </is>
      </c>
      <c r="P83" s="2" t="inlineStr">
        <is>
          <t xml:space="preserve">frontend/src/components/Sod/SodMatrices.tsx; docs/features/SOD.md</t>
        </is>
      </c>
      <c r="Q83" s="2" t="inlineStr">
        <is>
          <t xml:space="preserve">Implemented</t>
        </is>
      </c>
      <c r="R83" s="2" t="inlineStr">
        <is>
          <t xml:space="preserve">Unclassified</t>
        </is>
      </c>
      <c r="S83" s="2" t="inlineStr">
        <is>
          <t xml:space="preserve">Not started</t>
        </is>
      </c>
    </row>
    <row r="84">
      <c r="A84" s="2" t="inlineStr">
        <is>
          <t xml:space="preserve">SODA-002</t>
        </is>
      </c>
      <c r="B84" s="2" t="inlineStr">
        <is>
          <t xml:space="preserve">Activity Matrix</t>
        </is>
      </c>
      <c r="C84" s="2" t="inlineStr">
        <is>
          <t xml:space="preserve">Activity Matrix › Status tiles</t>
        </is>
      </c>
      <c r="D84" s="2" t="inlineStr">
        <is>
          <t xml:space="preserve">The status tiles (Pending, Approved, Conditional, Removal required, Outdated) count over the whole filtered matrix, toggle the matching filter and use the shared KPI tone mapping.</t>
        </is>
      </c>
      <c r="E84" s="2" t="inlineStr">
        <is>
          <t xml:space="preserve">Medium</t>
        </is>
      </c>
      <c r="F84" s="2" t="inlineStr">
        <is>
          <t xml:space="preserve">Not tested</t>
        </is>
      </c>
      <c r="G84" s="2" t="inlineStr">
        <is>
          <t xml:space="preserve">Pending</t>
        </is>
      </c>
      <c r="H84" s="2" t="inlineStr">
        <is>
          <t xml:space="preserve">frontend/tests/sod-filters-tiles.spec.ts; frontend/tests/kpi-semantic-tones.spec.ts</t>
        </is>
      </c>
      <c r="I84" s="2" t="inlineStr">
        <is>
          <t xml:space="preserve"/>
        </is>
      </c>
      <c r="J84" s="2" t="inlineStr">
        <is>
          <t xml:space="preserve"/>
        </is>
      </c>
      <c r="K84" s="2" t="inlineStr">
        <is>
          <t xml:space="preserve"/>
        </is>
      </c>
      <c r="L84" s="2" t="inlineStr">
        <is>
          <t xml:space="preserve"/>
        </is>
      </c>
      <c r="M84" s="2" t="inlineStr">
        <is>
          <t xml:space="preserve"/>
        </is>
      </c>
      <c r="N84" s="2" t="inlineStr">
        <is>
          <t xml:space="preserve">Select each tile and combine it with sidebar filters.</t>
        </is>
      </c>
      <c r="O84" s="2" t="inlineStr">
        <is>
          <t xml:space="preserve"/>
        </is>
      </c>
      <c r="P84" s="2" t="inlineStr">
        <is>
          <t xml:space="preserve">frontend/src/components/Sod/SodMatrices.tsx; frontend/src/lib/kpiTone.ts</t>
        </is>
      </c>
      <c r="Q84" s="2" t="inlineStr">
        <is>
          <t xml:space="preserve">Implemented</t>
        </is>
      </c>
      <c r="R84" s="2" t="inlineStr">
        <is>
          <t xml:space="preserve">Unclassified</t>
        </is>
      </c>
      <c r="S84" s="2" t="inlineStr">
        <is>
          <t xml:space="preserve">Not started</t>
        </is>
      </c>
    </row>
    <row r="85">
      <c r="A85" s="2" t="inlineStr">
        <is>
          <t xml:space="preserve">SODA-003</t>
        </is>
      </c>
      <c r="B85" s="2" t="inlineStr">
        <is>
          <t xml:space="preserve">Activity Matrix</t>
        </is>
      </c>
      <c r="C85" s="2" t="inlineStr">
        <is>
          <t xml:space="preserve">Activity Matrix › Scope and distinct counts</t>
        </is>
      </c>
      <c r="D85" s="2" t="inlineStr">
        <is>
          <t xml:space="preserve">Only activities that contribute to at least one potential conflict are listed; an activity shared by several risks counts once and totals count distinct users and user-activity pairs.</t>
        </is>
      </c>
      <c r="E85" s="2" t="inlineStr">
        <is>
          <t xml:space="preserve">High</t>
        </is>
      </c>
      <c r="F85" s="2" t="inlineStr">
        <is>
          <t xml:space="preserve">Not tested</t>
        </is>
      </c>
      <c r="G85" s="2" t="inlineStr">
        <is>
          <t xml:space="preserve">Pending</t>
        </is>
      </c>
      <c r="H85" s="2" t="inlineStr">
        <is>
          <t xml:space="preserve">backend/tests/test_sod_governance.py</t>
        </is>
      </c>
      <c r="I85" s="2" t="inlineStr">
        <is>
          <t xml:space="preserve"/>
        </is>
      </c>
      <c r="J85" s="2" t="inlineStr">
        <is>
          <t xml:space="preserve"/>
        </is>
      </c>
      <c r="K85" s="2" t="inlineStr">
        <is>
          <t xml:space="preserve"/>
        </is>
      </c>
      <c r="L85" s="2" t="inlineStr">
        <is>
          <t xml:space="preserve"/>
        </is>
      </c>
      <c r="M85" s="2" t="inlineStr">
        <is>
          <t xml:space="preserve"/>
        </is>
      </c>
      <c r="N85" s="2" t="inlineStr">
        <is>
          <t xml:space="preserve">Compare the totals with the Access Explorer user-activity table.</t>
        </is>
      </c>
      <c r="O85" s="2" t="inlineStr">
        <is>
          <t xml:space="preserve"/>
        </is>
      </c>
      <c r="P85" s="2" t="inlineStr">
        <is>
          <t xml:space="preserve">backend/sod_governance.py; docs/features/SOD.md</t>
        </is>
      </c>
      <c r="Q85" s="2" t="inlineStr">
        <is>
          <t xml:space="preserve">Implemented</t>
        </is>
      </c>
      <c r="R85" s="2" t="inlineStr">
        <is>
          <t xml:space="preserve">Unclassified</t>
        </is>
      </c>
      <c r="S85" s="2" t="inlineStr">
        <is>
          <t xml:space="preserve">Not started</t>
        </is>
      </c>
    </row>
    <row r="86">
      <c r="A86" s="2" t="inlineStr">
        <is>
          <t xml:space="preserve">SODA-004</t>
        </is>
      </c>
      <c r="B86" s="2" t="inlineStr">
        <is>
          <t xml:space="preserve">Activity Matrix</t>
        </is>
      </c>
      <c r="C86" s="2" t="inlineStr">
        <is>
          <t xml:space="preserve">Activity Matrix › Users per page, grouping and SAP User Group column</t>
        </is>
      </c>
      <c r="D86" s="2" t="inlineStr">
        <is>
          <t xml:space="preserve">Users per page (10, 25, 50, 100, All; default 50) is shared with the Risk Matrix, the SAP User Group column appears after SAP user and is hidden when grouped by SAP User Group, and sorting by group puts users without a group last.</t>
        </is>
      </c>
      <c r="E86" s="2" t="inlineStr">
        <is>
          <t xml:space="preserve">Medium</t>
        </is>
      </c>
      <c r="F86" s="2" t="inlineStr">
        <is>
          <t xml:space="preserve">Not tested</t>
        </is>
      </c>
      <c r="G86" s="2" t="inlineStr">
        <is>
          <t xml:space="preserve">Pending</t>
        </is>
      </c>
      <c r="H86" s="2" t="inlineStr">
        <is>
          <t xml:space="preserve">frontend/tests/sod-matrix-paging.spec.ts; frontend/tests/sod-user-group-column.spec.ts</t>
        </is>
      </c>
      <c r="I86" s="2" t="inlineStr">
        <is>
          <t xml:space="preserve"/>
        </is>
      </c>
      <c r="J86" s="2" t="inlineStr">
        <is>
          <t xml:space="preserve"/>
        </is>
      </c>
      <c r="K86" s="2" t="inlineStr">
        <is>
          <t xml:space="preserve"/>
        </is>
      </c>
      <c r="L86" s="2" t="inlineStr">
        <is>
          <t xml:space="preserve"/>
        </is>
      </c>
      <c r="M86" s="2" t="inlineStr">
        <is>
          <t xml:space="preserve"/>
        </is>
      </c>
      <c r="N86" s="2" t="inlineStr">
        <is>
          <t xml:space="preserve">Switch between both matrices and change page size, grouping and sort.</t>
        </is>
      </c>
      <c r="O86" s="2" t="inlineStr">
        <is>
          <t xml:space="preserve"/>
        </is>
      </c>
      <c r="P86" s="2" t="inlineStr">
        <is>
          <t xml:space="preserve">frontend/src/components/Sod/SodMatrices.tsx; frontend/src/components/Shared/MatrixGrid.tsx</t>
        </is>
      </c>
      <c r="Q86" s="2" t="inlineStr">
        <is>
          <t xml:space="preserve">Implemented</t>
        </is>
      </c>
      <c r="R86" s="2" t="inlineStr">
        <is>
          <t xml:space="preserve">Unclassified</t>
        </is>
      </c>
      <c r="S86" s="2" t="inlineStr">
        <is>
          <t xml:space="preserve">Not started</t>
        </is>
      </c>
    </row>
    <row r="87">
      <c r="A87" s="2" t="inlineStr">
        <is>
          <t xml:space="preserve">SODX-001</t>
        </is>
      </c>
      <c r="B87" s="2" t="inlineStr">
        <is>
          <t xml:space="preserve">Access Explorer</t>
        </is>
      </c>
      <c r="C87" s="2" t="inlineStr">
        <is>
          <t xml:space="preserve">Access Explorer › Tables</t>
        </is>
      </c>
      <c r="D87" s="2" t="inlineStr">
        <is>
          <t xml:space="preserve">User risk, user activity, access list and lookup tables show traceable rows with pagination and sorting.</t>
        </is>
      </c>
      <c r="E87" s="2" t="inlineStr">
        <is>
          <t xml:space="preserve">Not set</t>
        </is>
      </c>
      <c r="F87" s="2" t="inlineStr">
        <is>
          <t xml:space="preserve">Not tested</t>
        </is>
      </c>
      <c r="G87" s="2" t="inlineStr">
        <is>
          <t xml:space="preserve">Pending</t>
        </is>
      </c>
      <c r="H87" s="2" t="inlineStr">
        <is>
          <t xml:space="preserve"/>
        </is>
      </c>
      <c r="I87" s="2" t="inlineStr">
        <is>
          <t xml:space="preserve"/>
        </is>
      </c>
      <c r="J87" s="2" t="inlineStr">
        <is>
          <t xml:space="preserve"/>
        </is>
      </c>
      <c r="K87" s="2" t="inlineStr">
        <is>
          <t xml:space="preserve"/>
        </is>
      </c>
      <c r="L87" s="2" t="inlineStr">
        <is>
          <t xml:space="preserve"/>
        </is>
      </c>
      <c r="M87" s="2" t="inlineStr">
        <is>
          <t xml:space="preserve"/>
        </is>
      </c>
      <c r="N87" s="2" t="inlineStr">
        <is>
          <t xml:space="preserve"/>
        </is>
      </c>
      <c r="O87" s="2" t="inlineStr">
        <is>
          <t xml:space="preserve"/>
        </is>
      </c>
      <c r="P87" s="2" t="inlineStr">
        <is>
          <t xml:space="preserve">docs/features/SOD.md; frontend/tests/sod-analysis.spec.ts</t>
        </is>
      </c>
      <c r="Q87" s="2" t="inlineStr">
        <is>
          <t xml:space="preserve">Not assessed</t>
        </is>
      </c>
      <c r="R87" s="2" t="inlineStr">
        <is>
          <t xml:space="preserve">Unclassified</t>
        </is>
      </c>
      <c r="S87" s="2" t="inlineStr">
        <is>
          <t xml:space="preserve">Not started</t>
        </is>
      </c>
    </row>
    <row r="88">
      <c r="A88" s="2" t="inlineStr">
        <is>
          <t xml:space="preserve">SODX-002</t>
        </is>
      </c>
      <c r="B88" s="2" t="inlineStr">
        <is>
          <t xml:space="preserve">Access Explorer</t>
        </is>
      </c>
      <c r="C88" s="2" t="inlineStr">
        <is>
          <t xml:space="preserve">Access Explorer › Evidence modals</t>
        </is>
      </c>
      <c r="D88" s="2" t="inlineStr">
        <is>
          <t xml:space="preserve">Users and roles evidence open in wide modals with compact tables.</t>
        </is>
      </c>
      <c r="E88" s="2" t="inlineStr">
        <is>
          <t xml:space="preserve">Not set</t>
        </is>
      </c>
      <c r="F88" s="2" t="inlineStr">
        <is>
          <t xml:space="preserve">Not tested</t>
        </is>
      </c>
      <c r="G88" s="2" t="inlineStr">
        <is>
          <t xml:space="preserve">Pending</t>
        </is>
      </c>
      <c r="H88" s="2" t="inlineStr">
        <is>
          <t xml:space="preserve"/>
        </is>
      </c>
      <c r="I88" s="2" t="inlineStr">
        <is>
          <t xml:space="preserve"/>
        </is>
      </c>
      <c r="J88" s="2" t="inlineStr">
        <is>
          <t xml:space="preserve"/>
        </is>
      </c>
      <c r="K88" s="2" t="inlineStr">
        <is>
          <t xml:space="preserve"/>
        </is>
      </c>
      <c r="L88" s="2" t="inlineStr">
        <is>
          <t xml:space="preserve"/>
        </is>
      </c>
      <c r="M88" s="2" t="inlineStr">
        <is>
          <t xml:space="preserve"/>
        </is>
      </c>
      <c r="N88" s="2" t="inlineStr">
        <is>
          <t xml:space="preserve"/>
        </is>
      </c>
      <c r="O88" s="2" t="inlineStr">
        <is>
          <t xml:space="preserve"/>
        </is>
      </c>
      <c r="P88" s="2" t="inlineStr">
        <is>
          <t xml:space="preserve">docs/features/SOD.md; frontend/tests/sod-evidence-modals.spec.ts</t>
        </is>
      </c>
      <c r="Q88" s="2" t="inlineStr">
        <is>
          <t xml:space="preserve">Not assessed</t>
        </is>
      </c>
      <c r="R88" s="2" t="inlineStr">
        <is>
          <t xml:space="preserve">Unclassified</t>
        </is>
      </c>
      <c r="S88" s="2" t="inlineStr">
        <is>
          <t xml:space="preserve">Not started</t>
        </is>
      </c>
    </row>
    <row r="89">
      <c r="A89" s="2" t="inlineStr">
        <is>
          <t xml:space="preserve">SODX-003</t>
        </is>
      </c>
      <c r="B89" s="2" t="inlineStr">
        <is>
          <t xml:space="preserve">Access Explorer</t>
        </is>
      </c>
      <c r="C89" s="2" t="inlineStr">
        <is>
          <t xml:space="preserve">Access Explorer › Potential SoD evidence</t>
        </is>
      </c>
      <c r="D89" s="2" t="inlineStr">
        <is>
          <t xml:space="preserve">The dialog separates transactions, single roles, assigned roles, catalogue roles, validity and provenance for both activity sides.</t>
        </is>
      </c>
      <c r="E89" s="2" t="inlineStr">
        <is>
          <t xml:space="preserve">Not set</t>
        </is>
      </c>
      <c r="F89" s="2" t="inlineStr">
        <is>
          <t xml:space="preserve">Not tested</t>
        </is>
      </c>
      <c r="G89" s="2" t="inlineStr">
        <is>
          <t xml:space="preserve">Pending</t>
        </is>
      </c>
      <c r="H89" s="2" t="inlineStr">
        <is>
          <t xml:space="preserve"/>
        </is>
      </c>
      <c r="I89" s="2" t="inlineStr">
        <is>
          <t xml:space="preserve"/>
        </is>
      </c>
      <c r="J89" s="2" t="inlineStr">
        <is>
          <t xml:space="preserve"/>
        </is>
      </c>
      <c r="K89" s="2" t="inlineStr">
        <is>
          <t xml:space="preserve"/>
        </is>
      </c>
      <c r="L89" s="2" t="inlineStr">
        <is>
          <t xml:space="preserve"/>
        </is>
      </c>
      <c r="M89" s="2" t="inlineStr">
        <is>
          <t xml:space="preserve"/>
        </is>
      </c>
      <c r="N89" s="2" t="inlineStr">
        <is>
          <t xml:space="preserve"/>
        </is>
      </c>
      <c r="O89" s="2" t="inlineStr">
        <is>
          <t xml:space="preserve"/>
        </is>
      </c>
      <c r="P89" s="2" t="inlineStr">
        <is>
          <t xml:space="preserve">docs/features/SOD.md; frontend/tests/sod-evidence-modals.spec.ts</t>
        </is>
      </c>
      <c r="Q89" s="2" t="inlineStr">
        <is>
          <t xml:space="preserve">Not assessed</t>
        </is>
      </c>
      <c r="R89" s="2" t="inlineStr">
        <is>
          <t xml:space="preserve">Unclassified</t>
        </is>
      </c>
      <c r="S89" s="2" t="inlineStr">
        <is>
          <t xml:space="preserve">Not started</t>
        </is>
      </c>
    </row>
    <row r="90">
      <c r="A90" s="2" t="inlineStr">
        <is>
          <t xml:space="preserve">SODX-004</t>
        </is>
      </c>
      <c r="B90" s="2" t="inlineStr">
        <is>
          <t xml:space="preserve">Access Explorer</t>
        </is>
      </c>
      <c r="C90" s="2" t="inlineStr">
        <is>
          <t xml:space="preserve">Access Explorer › Filters</t>
        </is>
      </c>
      <c r="D90" s="2" t="inlineStr">
        <is>
          <t xml:space="preserve">Filters including Risks per user and assigned role compose and show active values.</t>
        </is>
      </c>
      <c r="E90" s="2" t="inlineStr">
        <is>
          <t xml:space="preserve">Not set</t>
        </is>
      </c>
      <c r="F90" s="2" t="inlineStr">
        <is>
          <t xml:space="preserve">Not tested</t>
        </is>
      </c>
      <c r="G90" s="2" t="inlineStr">
        <is>
          <t xml:space="preserve">Pending</t>
        </is>
      </c>
      <c r="H90" s="2" t="inlineStr">
        <is>
          <t xml:space="preserve"/>
        </is>
      </c>
      <c r="I90" s="2" t="inlineStr">
        <is>
          <t xml:space="preserve"/>
        </is>
      </c>
      <c r="J90" s="2" t="inlineStr">
        <is>
          <t xml:space="preserve"/>
        </is>
      </c>
      <c r="K90" s="2" t="inlineStr">
        <is>
          <t xml:space="preserve"/>
        </is>
      </c>
      <c r="L90" s="2" t="inlineStr">
        <is>
          <t xml:space="preserve"/>
        </is>
      </c>
      <c r="M90" s="2" t="inlineStr">
        <is>
          <t xml:space="preserve"/>
        </is>
      </c>
      <c r="N90" s="2" t="inlineStr">
        <is>
          <t xml:space="preserve"/>
        </is>
      </c>
      <c r="O90" s="2" t="inlineStr">
        <is>
          <t xml:space="preserve"/>
        </is>
      </c>
      <c r="P90" s="2" t="inlineStr">
        <is>
          <t xml:space="preserve">docs/features/SOD.md; frontend/tests/sod-overview-actionable.spec.ts, frontend/tests/sod-filters-tiles.spec.ts</t>
        </is>
      </c>
      <c r="Q90" s="2" t="inlineStr">
        <is>
          <t xml:space="preserve">Not assessed</t>
        </is>
      </c>
      <c r="R90" s="2" t="inlineStr">
        <is>
          <t xml:space="preserve">Unclassified</t>
        </is>
      </c>
      <c r="S90" s="2" t="inlineStr">
        <is>
          <t xml:space="preserve">Not started</t>
        </is>
      </c>
    </row>
    <row r="91">
      <c r="A91" s="2" t="inlineStr">
        <is>
          <t xml:space="preserve">SODX-005</t>
        </is>
      </c>
      <c r="B91" s="2" t="inlineStr">
        <is>
          <t xml:space="preserve">Access Explorer</t>
        </is>
      </c>
      <c r="C91" s="2" t="inlineStr">
        <is>
          <t xml:space="preserve">Access Explorer › Exports</t>
        </is>
      </c>
      <c r="D91" s="2" t="inlineStr">
        <is>
          <t xml:space="preserve">Exports contain every filtered row across pages.</t>
        </is>
      </c>
      <c r="E91" s="2" t="inlineStr">
        <is>
          <t xml:space="preserve">Not set</t>
        </is>
      </c>
      <c r="F91" s="2" t="inlineStr">
        <is>
          <t xml:space="preserve">Not tested</t>
        </is>
      </c>
      <c r="G91" s="2" t="inlineStr">
        <is>
          <t xml:space="preserve">Pending</t>
        </is>
      </c>
      <c r="H91" s="2" t="inlineStr">
        <is>
          <t xml:space="preserve"/>
        </is>
      </c>
      <c r="I91" s="2" t="inlineStr">
        <is>
          <t xml:space="preserve"/>
        </is>
      </c>
      <c r="J91" s="2" t="inlineStr">
        <is>
          <t xml:space="preserve"/>
        </is>
      </c>
      <c r="K91" s="2" t="inlineStr">
        <is>
          <t xml:space="preserve"/>
        </is>
      </c>
      <c r="L91" s="2" t="inlineStr">
        <is>
          <t xml:space="preserve"/>
        </is>
      </c>
      <c r="M91" s="2" t="inlineStr">
        <is>
          <t xml:space="preserve"/>
        </is>
      </c>
      <c r="N91" s="2" t="inlineStr">
        <is>
          <t xml:space="preserve"/>
        </is>
      </c>
      <c r="O91" s="2" t="inlineStr">
        <is>
          <t xml:space="preserve"/>
        </is>
      </c>
      <c r="P91" s="2" t="inlineStr">
        <is>
          <t xml:space="preserve">docs/features/SOD.md; frontend/tests/sod-export-ux.spec.ts</t>
        </is>
      </c>
      <c r="Q91" s="2" t="inlineStr">
        <is>
          <t xml:space="preserve">Not assessed</t>
        </is>
      </c>
      <c r="R91" s="2" t="inlineStr">
        <is>
          <t xml:space="preserve">Unclassified</t>
        </is>
      </c>
      <c r="S91" s="2" t="inlineStr">
        <is>
          <t xml:space="preserve">Not started</t>
        </is>
      </c>
    </row>
    <row r="92">
      <c r="A92" s="2" t="inlineStr">
        <is>
          <t xml:space="preserve">SODX-006</t>
        </is>
      </c>
      <c r="B92" s="2" t="inlineStr">
        <is>
          <t xml:space="preserve">Access Explorer</t>
        </is>
      </c>
      <c r="C92" s="2" t="inlineStr">
        <is>
          <t xml:space="preserve">Access Explorer › Navigation tab icons (R6 correction)</t>
        </is>
      </c>
      <c r="D92" s="2" t="inlineStr">
        <is>
          <t xml:space="preserve">Users, Assignments, Roles and Role conflicts show the users, list-checks, layers and shield-alert icons at the size of other secondary navigation, keep the active underline, keyboard navigation and focus ring, and selecting a tab shifts no layout.</t>
        </is>
      </c>
      <c r="E92" s="2" t="inlineStr">
        <is>
          <t xml:space="preserve">Not set</t>
        </is>
      </c>
      <c r="F92" s="2" t="inlineStr">
        <is>
          <t xml:space="preserve">Not tested</t>
        </is>
      </c>
      <c r="G92" s="2" t="inlineStr">
        <is>
          <t xml:space="preserve">Pending</t>
        </is>
      </c>
      <c r="H92" s="2" t="inlineStr">
        <is>
          <t xml:space="preserve">frontend/tests/secondary-navigation-icons.spec.ts (icons, 16 px, no background or side border, underline, keyboard, focus ring, no layout shift, light and dark at 375 and 1280 px)</t>
        </is>
      </c>
      <c r="I92" s="2" t="inlineStr">
        <is>
          <t xml:space="preserve"/>
        </is>
      </c>
      <c r="J92" s="2" t="inlineStr">
        <is>
          <t xml:space="preserve"/>
        </is>
      </c>
      <c r="K92" s="2" t="inlineStr">
        <is>
          <t xml:space="preserve">The User Access role sections also gained icons; tabs reserve the bold label width.</t>
        </is>
      </c>
      <c r="L92" s="2" t="inlineStr">
        <is>
          <t xml:space="preserve"/>
        </is>
      </c>
      <c r="M92" s="2" t="inlineStr">
        <is>
          <t xml:space="preserve"/>
        </is>
      </c>
      <c r="N92" s="2" t="inlineStr">
        <is>
          <t xml:space="preserve">Check the tabs and focus ring in both themes.</t>
        </is>
      </c>
      <c r="O92" s="2" t="inlineStr">
        <is>
          <t xml:space="preserve"/>
        </is>
      </c>
      <c r="P92" s="2" t="inlineStr">
        <is>
          <t xml:space="preserve">frontend/src/components/Sod/SodExplorer.tsx; frontend/src/components/Shared/Navigation.tsx; frontend/src/components/Access/UserAccess.tsx</t>
        </is>
      </c>
      <c r="Q92" s="2" t="inlineStr">
        <is>
          <t xml:space="preserve">Implemented</t>
        </is>
      </c>
      <c r="R92" s="2" t="inlineStr">
        <is>
          <t xml:space="preserve">Unclassified</t>
        </is>
      </c>
      <c r="S92" s="2" t="inlineStr">
        <is>
          <t xml:space="preserve">Not started</t>
        </is>
      </c>
    </row>
    <row r="93">
      <c r="A93" s="2" t="inlineStr">
        <is>
          <t xml:space="preserve">SODX-007</t>
        </is>
      </c>
      <c r="B93" s="2" t="inlineStr">
        <is>
          <t xml:space="preserve">Access Explorer</t>
        </is>
      </c>
      <c r="C93" s="2" t="inlineStr">
        <is>
          <t xml:space="preserve">Access Explorer › SAP User Group column</t>
        </is>
      </c>
      <c r="D93" s="2" t="inlineStr">
        <is>
          <t xml:space="preserve">Users (by risk and by activity) and Assignments show SAP user then SAP User Group; Roles and Role conflicts show no group because they aggregate users of different groups.</t>
        </is>
      </c>
      <c r="E93" s="2" t="inlineStr">
        <is>
          <t xml:space="preserve">Not set</t>
        </is>
      </c>
      <c r="F93" s="2" t="inlineStr">
        <is>
          <t xml:space="preserve">Not tested</t>
        </is>
      </c>
      <c r="G93" s="2" t="inlineStr">
        <is>
          <t xml:space="preserve">Pending</t>
        </is>
      </c>
      <c r="H93" s="2" t="inlineStr">
        <is>
          <t xml:space="preserve">frontend/tests/sod-user-group-column.spec.ts; frontend/tests/sod-bulk-review.spec.ts</t>
        </is>
      </c>
      <c r="I93" s="2" t="inlineStr">
        <is>
          <t xml:space="preserve"/>
        </is>
      </c>
      <c r="J93" s="2" t="inlineStr">
        <is>
          <t xml:space="preserve"/>
        </is>
      </c>
      <c r="K93" s="2" t="inlineStr">
        <is>
          <t xml:space="preserve">Column orders: SAP user, SAP User Group, Risk, Activities, Evidence, Risk acceptance, Open.</t>
        </is>
      </c>
      <c r="L93" s="2" t="inlineStr">
        <is>
          <t xml:space="preserve"/>
        </is>
      </c>
      <c r="M93" s="2" t="inlineStr">
        <is>
          <t xml:space="preserve"/>
        </is>
      </c>
      <c r="N93" s="2" t="inlineStr">
        <is>
          <t xml:space="preserve">Check the four tabs in both themes.</t>
        </is>
      </c>
      <c r="O93" s="2" t="inlineStr">
        <is>
          <t xml:space="preserve"/>
        </is>
      </c>
      <c r="P93" s="2" t="inlineStr">
        <is>
          <t xml:space="preserve">frontend/src/components/Sod/SodExplorer.tsx; frontend/src/components/Shared/UserGroup.tsx</t>
        </is>
      </c>
      <c r="Q93" s="2" t="inlineStr">
        <is>
          <t xml:space="preserve">Implemented</t>
        </is>
      </c>
      <c r="R93" s="2" t="inlineStr">
        <is>
          <t xml:space="preserve">Unclassified</t>
        </is>
      </c>
      <c r="S93" s="2" t="inlineStr">
        <is>
          <t xml:space="preserve">Not started</t>
        </is>
      </c>
    </row>
    <row r="94">
      <c r="A94" s="2" t="inlineStr">
        <is>
          <t xml:space="preserve">SODX-008</t>
        </is>
      </c>
      <c r="B94" s="2" t="inlineStr">
        <is>
          <t xml:space="preserve">Access Explorer</t>
        </is>
      </c>
      <c r="C94" s="2" t="inlineStr">
        <is>
          <t xml:space="preserve">Matrices, Explorer, Reviews exports › SAP User Group in CSV exports</t>
        </is>
      </c>
      <c r="D94" s="2" t="inlineStr">
        <is>
          <t xml:space="preserve">Explorer user-risk, user-activity and assignment exports, the review-queue export and the remediation export include the SAP User Group whatever the table shows, with the active filters and unpaged scope.</t>
        </is>
      </c>
      <c r="E94" s="2" t="inlineStr">
        <is>
          <t xml:space="preserve">Not set</t>
        </is>
      </c>
      <c r="F94" s="2" t="inlineStr">
        <is>
          <t xml:space="preserve">Not tested</t>
        </is>
      </c>
      <c r="G94" s="2" t="inlineStr">
        <is>
          <t xml:space="preserve">Pending</t>
        </is>
      </c>
      <c r="H94" s="2" t="inlineStr">
        <is>
          <t xml:space="preserve">backend/tests/test_sod_governance.py; frontend/tests/sod-user-group-column.spec.ts</t>
        </is>
      </c>
      <c r="I94" s="2" t="inlineStr">
        <is>
          <t xml:space="preserve"/>
        </is>
      </c>
      <c r="J94" s="2" t="inlineStr">
        <is>
          <t xml:space="preserve"/>
        </is>
      </c>
      <c r="K94" s="2" t="inlineStr">
        <is>
          <t xml:space="preserve">Added USER_GROUPS to user-activity and review-queue exports and USER_GROUP to the remediation export; other schemas unchanged.</t>
        </is>
      </c>
      <c r="L94" s="2" t="inlineStr">
        <is>
          <t xml:space="preserve"/>
        </is>
      </c>
      <c r="M94" s="2" t="inlineStr">
        <is>
          <t xml:space="preserve"/>
        </is>
      </c>
      <c r="N94" s="2" t="inlineStr">
        <is>
          <t xml:space="preserve">Open an exported file and check the group column.</t>
        </is>
      </c>
      <c r="O94" s="2" t="inlineStr">
        <is>
          <t xml:space="preserve"/>
        </is>
      </c>
      <c r="P94" s="2" t="inlineStr">
        <is>
          <t xml:space="preserve">backend/routers/sod_governance.py</t>
        </is>
      </c>
      <c r="Q94" s="2" t="inlineStr">
        <is>
          <t xml:space="preserve">Implemented</t>
        </is>
      </c>
      <c r="R94" s="2" t="inlineStr">
        <is>
          <t xml:space="preserve">Unclassified</t>
        </is>
      </c>
      <c r="S94" s="2" t="inlineStr">
        <is>
          <t xml:space="preserve">Not started</t>
        </is>
      </c>
    </row>
    <row r="95">
      <c r="A95" s="2" t="inlineStr">
        <is>
          <t xml:space="preserve">R7-05</t>
        </is>
      </c>
      <c r="B95" s="2" t="inlineStr">
        <is>
          <t xml:space="preserve">Access Explorer</t>
        </is>
      </c>
      <c r="C95" s="2" t="inlineStr">
        <is>
          <t xml:space="preserve">Access Explorer, Assignments › No redundant outer KPI container</t>
        </is>
      </c>
      <c r="D95" s="2" t="inlineStr">
        <is>
          <t xml:space="preserve">The status KPI tiles are independent bordered controls without an enclosing card, wrap naturally and do not overflow; counts, semantic colors and click-to-filter are unchanged.</t>
        </is>
      </c>
      <c r="E95" s="2" t="inlineStr">
        <is>
          <t xml:space="preserve">Not set</t>
        </is>
      </c>
      <c r="F95" s="2" t="inlineStr">
        <is>
          <t xml:space="preserve">Not tested</t>
        </is>
      </c>
      <c r="G95" s="2" t="inlineStr">
        <is>
          <t xml:space="preserve">Pending</t>
        </is>
      </c>
      <c r="H95" s="2" t="inlineStr">
        <is>
          <t xml:space="preserve">frontend/tests/sod-assignment-decisions.spec.ts</t>
        </is>
      </c>
      <c r="I95" s="2" t="inlineStr">
        <is>
          <t xml:space="preserve"/>
        </is>
      </c>
      <c r="J95" s="2" t="inlineStr">
        <is>
          <t xml:space="preserve"/>
        </is>
      </c>
      <c r="K95" s="2" t="inlineStr">
        <is>
          <t xml:space="preserve">Root cause: the section reused the Account Review card class (review-progress). Removed. Other SoD KPI groups were audited and carry no card.</t>
        </is>
      </c>
      <c r="L95" s="2" t="inlineStr">
        <is>
          <t xml:space="preserve"/>
        </is>
      </c>
      <c r="M95" s="2" t="inlineStr">
        <is>
          <t xml:space="preserve"/>
        </is>
      </c>
      <c r="N95" s="2" t="inlineStr">
        <is>
          <t xml:space="preserve">Check Assignments at 375 and 1280 px in both themes.</t>
        </is>
      </c>
      <c r="O95" s="2" t="inlineStr">
        <is>
          <t xml:space="preserve"/>
        </is>
      </c>
      <c r="P95" s="2" t="inlineStr">
        <is>
          <t xml:space="preserve">frontend/src/components/Sod/SodExplorer.tsx</t>
        </is>
      </c>
      <c r="Q95" s="2" t="inlineStr">
        <is>
          <t xml:space="preserve">Implemented</t>
        </is>
      </c>
      <c r="R95" s="2" t="inlineStr">
        <is>
          <t xml:space="preserve">Unclassified</t>
        </is>
      </c>
      <c r="S95" s="2" t="inlineStr">
        <is>
          <t xml:space="preserve">Not started</t>
        </is>
      </c>
    </row>
    <row r="96">
      <c r="A96" s="2" t="inlineStr">
        <is>
          <t xml:space="preserve">SODV-001</t>
        </is>
      </c>
      <c r="B96" s="2" t="inlineStr">
        <is>
          <t xml:space="preserve">SoD Reviews</t>
        </is>
      </c>
      <c r="C96" s="2" t="inlineStr">
        <is>
          <t xml:space="preserve">Reviews › Work queue</t>
        </is>
      </c>
      <c r="D96" s="2" t="inlineStr">
        <is>
          <t xml:space="preserve">The queue defaults to assignments needing attention with a progress strip and filterable states.</t>
        </is>
      </c>
      <c r="E96" s="2" t="inlineStr">
        <is>
          <t xml:space="preserve">Not set</t>
        </is>
      </c>
      <c r="F96" s="2" t="inlineStr">
        <is>
          <t xml:space="preserve">Not tested</t>
        </is>
      </c>
      <c r="G96" s="2" t="inlineStr">
        <is>
          <t xml:space="preserve">Pending</t>
        </is>
      </c>
      <c r="H96" s="2" t="inlineStr">
        <is>
          <t xml:space="preserve"/>
        </is>
      </c>
      <c r="I96" s="2" t="inlineStr">
        <is>
          <t xml:space="preserve"/>
        </is>
      </c>
      <c r="J96" s="2" t="inlineStr">
        <is>
          <t xml:space="preserve"/>
        </is>
      </c>
      <c r="K96" s="2" t="inlineStr">
        <is>
          <t xml:space="preserve"/>
        </is>
      </c>
      <c r="L96" s="2" t="inlineStr">
        <is>
          <t xml:space="preserve"/>
        </is>
      </c>
      <c r="M96" s="2" t="inlineStr">
        <is>
          <t xml:space="preserve"/>
        </is>
      </c>
      <c r="N96" s="2" t="inlineStr">
        <is>
          <t xml:space="preserve"/>
        </is>
      </c>
      <c r="O96" s="2" t="inlineStr">
        <is>
          <t xml:space="preserve"/>
        </is>
      </c>
      <c r="P96" s="2" t="inlineStr">
        <is>
          <t xml:space="preserve">docs/features/SOD.md; frontend/tests/sod-assignment-decisions.spec.ts</t>
        </is>
      </c>
      <c r="Q96" s="2" t="inlineStr">
        <is>
          <t xml:space="preserve">Not assessed</t>
        </is>
      </c>
      <c r="R96" s="2" t="inlineStr">
        <is>
          <t xml:space="preserve">Unclassified</t>
        </is>
      </c>
      <c r="S96" s="2" t="inlineStr">
        <is>
          <t xml:space="preserve">Not started</t>
        </is>
      </c>
    </row>
    <row r="97">
      <c r="A97" s="2" t="inlineStr">
        <is>
          <t xml:space="preserve">SODV-002</t>
        </is>
      </c>
      <c r="B97" s="2" t="inlineStr">
        <is>
          <t xml:space="preserve">SoD Reviews</t>
        </is>
      </c>
      <c r="C97" s="2" t="inlineStr">
        <is>
          <t xml:space="preserve">Reviews › Role assignment review</t>
        </is>
      </c>
      <c r="D97" s="2" t="inlineStr">
        <is>
          <t xml:space="preserve">Keep, Investigate and Recommend removal are separate decisions with justification and history.</t>
        </is>
      </c>
      <c r="E97" s="2" t="inlineStr">
        <is>
          <t xml:space="preserve">Not set</t>
        </is>
      </c>
      <c r="F97" s="2" t="inlineStr">
        <is>
          <t xml:space="preserve">Not tested</t>
        </is>
      </c>
      <c r="G97" s="2" t="inlineStr">
        <is>
          <t xml:space="preserve">Pending</t>
        </is>
      </c>
      <c r="H97" s="2" t="inlineStr">
        <is>
          <t xml:space="preserve"/>
        </is>
      </c>
      <c r="I97" s="2" t="inlineStr">
        <is>
          <t xml:space="preserve"/>
        </is>
      </c>
      <c r="J97" s="2" t="inlineStr">
        <is>
          <t xml:space="preserve"/>
        </is>
      </c>
      <c r="K97" s="2" t="inlineStr">
        <is>
          <t xml:space="preserve"/>
        </is>
      </c>
      <c r="L97" s="2" t="inlineStr">
        <is>
          <t xml:space="preserve"/>
        </is>
      </c>
      <c r="M97" s="2" t="inlineStr">
        <is>
          <t xml:space="preserve"/>
        </is>
      </c>
      <c r="N97" s="2" t="inlineStr">
        <is>
          <t xml:space="preserve"/>
        </is>
      </c>
      <c r="O97" s="2" t="inlineStr">
        <is>
          <t xml:space="preserve"/>
        </is>
      </c>
      <c r="P97" s="2" t="inlineStr">
        <is>
          <t xml:space="preserve">docs/features/SOD.md; frontend/tests/sod-assignment-decisions.spec.ts</t>
        </is>
      </c>
      <c r="Q97" s="2" t="inlineStr">
        <is>
          <t xml:space="preserve">Not assessed</t>
        </is>
      </c>
      <c r="R97" s="2" t="inlineStr">
        <is>
          <t xml:space="preserve">Unclassified</t>
        </is>
      </c>
      <c r="S97" s="2" t="inlineStr">
        <is>
          <t xml:space="preserve">Not started</t>
        </is>
      </c>
    </row>
    <row r="98">
      <c r="A98" s="2" t="inlineStr">
        <is>
          <t xml:space="preserve">SODV-003</t>
        </is>
      </c>
      <c r="B98" s="2" t="inlineStr">
        <is>
          <t xml:space="preserve">SoD Reviews</t>
        </is>
      </c>
      <c r="C98" s="2" t="inlineStr">
        <is>
          <t xml:space="preserve">Reviews › Activity review</t>
        </is>
      </c>
      <c r="D98" s="2" t="inlineStr">
        <is>
          <t xml:space="preserve">Activity decisions are separate from assignment decisions and never change detection.</t>
        </is>
      </c>
      <c r="E98" s="2" t="inlineStr">
        <is>
          <t xml:space="preserve">Not set</t>
        </is>
      </c>
      <c r="F98" s="2" t="inlineStr">
        <is>
          <t xml:space="preserve">Not tested</t>
        </is>
      </c>
      <c r="G98" s="2" t="inlineStr">
        <is>
          <t xml:space="preserve">Pending</t>
        </is>
      </c>
      <c r="H98" s="2" t="inlineStr">
        <is>
          <t xml:space="preserve"/>
        </is>
      </c>
      <c r="I98" s="2" t="inlineStr">
        <is>
          <t xml:space="preserve"/>
        </is>
      </c>
      <c r="J98" s="2" t="inlineStr">
        <is>
          <t xml:space="preserve"/>
        </is>
      </c>
      <c r="K98" s="2" t="inlineStr">
        <is>
          <t xml:space="preserve"/>
        </is>
      </c>
      <c r="L98" s="2" t="inlineStr">
        <is>
          <t xml:space="preserve"/>
        </is>
      </c>
      <c r="M98" s="2" t="inlineStr">
        <is>
          <t xml:space="preserve"/>
        </is>
      </c>
      <c r="N98" s="2" t="inlineStr">
        <is>
          <t xml:space="preserve"/>
        </is>
      </c>
      <c r="O98" s="2" t="inlineStr">
        <is>
          <t xml:space="preserve"/>
        </is>
      </c>
      <c r="P98" s="2" t="inlineStr">
        <is>
          <t xml:space="preserve">docs/features/SOD.md; frontend/tests/sod-governance.spec.ts</t>
        </is>
      </c>
      <c r="Q98" s="2" t="inlineStr">
        <is>
          <t xml:space="preserve">Not assessed</t>
        </is>
      </c>
      <c r="R98" s="2" t="inlineStr">
        <is>
          <t xml:space="preserve">Unclassified</t>
        </is>
      </c>
      <c r="S98" s="2" t="inlineStr">
        <is>
          <t xml:space="preserve">Not started</t>
        </is>
      </c>
    </row>
    <row r="99">
      <c r="A99" s="2" t="inlineStr">
        <is>
          <t xml:space="preserve">SODV-004</t>
        </is>
      </c>
      <c r="B99" s="2" t="inlineStr">
        <is>
          <t xml:space="preserve">SoD Reviews</t>
        </is>
      </c>
      <c r="C99" s="2" t="inlineStr">
        <is>
          <t xml:space="preserve">Reviews › Risk acceptance</t>
        </is>
      </c>
      <c r="D99" s="2" t="inlineStr">
        <is>
          <t xml:space="preserve">Acceptance rows lead with Decide, collapse history and require approver details.</t>
        </is>
      </c>
      <c r="E99" s="2" t="inlineStr">
        <is>
          <t xml:space="preserve">Not set</t>
        </is>
      </c>
      <c r="F99" s="2" t="inlineStr">
        <is>
          <t xml:space="preserve">Not tested</t>
        </is>
      </c>
      <c r="G99" s="2" t="inlineStr">
        <is>
          <t xml:space="preserve">Pending</t>
        </is>
      </c>
      <c r="H99" s="2" t="inlineStr">
        <is>
          <t xml:space="preserve"/>
        </is>
      </c>
      <c r="I99" s="2" t="inlineStr">
        <is>
          <t xml:space="preserve"/>
        </is>
      </c>
      <c r="J99" s="2" t="inlineStr">
        <is>
          <t xml:space="preserve"/>
        </is>
      </c>
      <c r="K99" s="2" t="inlineStr">
        <is>
          <t xml:space="preserve"/>
        </is>
      </c>
      <c r="L99" s="2" t="inlineStr">
        <is>
          <t xml:space="preserve"/>
        </is>
      </c>
      <c r="M99" s="2" t="inlineStr">
        <is>
          <t xml:space="preserve"/>
        </is>
      </c>
      <c r="N99" s="2" t="inlineStr">
        <is>
          <t xml:space="preserve"/>
        </is>
      </c>
      <c r="O99" s="2" t="inlineStr">
        <is>
          <t xml:space="preserve"/>
        </is>
      </c>
      <c r="P99" s="2" t="inlineStr">
        <is>
          <t xml:space="preserve">docs/features/SOD.md; frontend/tests/sod-governance.spec.ts</t>
        </is>
      </c>
      <c r="Q99" s="2" t="inlineStr">
        <is>
          <t xml:space="preserve">Not assessed</t>
        </is>
      </c>
      <c r="R99" s="2" t="inlineStr">
        <is>
          <t xml:space="preserve">Unclassified</t>
        </is>
      </c>
      <c r="S99" s="2" t="inlineStr">
        <is>
          <t xml:space="preserve">Not started</t>
        </is>
      </c>
    </row>
    <row r="100">
      <c r="A100" s="2" t="inlineStr">
        <is>
          <t xml:space="preserve">SODV-005</t>
        </is>
      </c>
      <c r="B100" s="2" t="inlineStr">
        <is>
          <t xml:space="preserve">SoD Reviews</t>
        </is>
      </c>
      <c r="C100" s="2" t="inlineStr">
        <is>
          <t xml:space="preserve">Reviews › History and evidence</t>
        </is>
      </c>
      <c r="D100" s="2" t="inlineStr">
        <is>
          <t xml:space="preserve">Decision history shows reviewer, time and evidence version and is immutable.</t>
        </is>
      </c>
      <c r="E100" s="2" t="inlineStr">
        <is>
          <t xml:space="preserve">Not set</t>
        </is>
      </c>
      <c r="F100" s="2" t="inlineStr">
        <is>
          <t xml:space="preserve">Not tested</t>
        </is>
      </c>
      <c r="G100" s="2" t="inlineStr">
        <is>
          <t xml:space="preserve">Pending</t>
        </is>
      </c>
      <c r="H100" s="2" t="inlineStr">
        <is>
          <t xml:space="preserve"/>
        </is>
      </c>
      <c r="I100" s="2" t="inlineStr">
        <is>
          <t xml:space="preserve"/>
        </is>
      </c>
      <c r="J100" s="2" t="inlineStr">
        <is>
          <t xml:space="preserve"/>
        </is>
      </c>
      <c r="K100" s="2" t="inlineStr">
        <is>
          <t xml:space="preserve"/>
        </is>
      </c>
      <c r="L100" s="2" t="inlineStr">
        <is>
          <t xml:space="preserve"/>
        </is>
      </c>
      <c r="M100" s="2" t="inlineStr">
        <is>
          <t xml:space="preserve"/>
        </is>
      </c>
      <c r="N100" s="2" t="inlineStr">
        <is>
          <t xml:space="preserve"/>
        </is>
      </c>
      <c r="O100" s="2" t="inlineStr">
        <is>
          <t xml:space="preserve"/>
        </is>
      </c>
      <c r="P100" s="2" t="inlineStr">
        <is>
          <t xml:space="preserve">docs/features/SOD.md; frontend/tests/sod-governance.spec.ts</t>
        </is>
      </c>
      <c r="Q100" s="2" t="inlineStr">
        <is>
          <t xml:space="preserve">Not assessed</t>
        </is>
      </c>
      <c r="R100" s="2" t="inlineStr">
        <is>
          <t xml:space="preserve">Unclassified</t>
        </is>
      </c>
      <c r="S100" s="2" t="inlineStr">
        <is>
          <t xml:space="preserve">Not started</t>
        </is>
      </c>
    </row>
    <row r="101">
      <c r="A101" s="2" t="inlineStr">
        <is>
          <t xml:space="preserve">SODV-006</t>
        </is>
      </c>
      <c r="B101" s="2" t="inlineStr">
        <is>
          <t xml:space="preserve">SoD Reviews</t>
        </is>
      </c>
      <c r="C101" s="2" t="inlineStr">
        <is>
          <t xml:space="preserve">Reviews › Bulk review</t>
        </is>
      </c>
      <c r="D101" s="2" t="inlineStr">
        <is>
          <t xml:space="preserve">Select all, Clear selection and bulk actions apply to the filtered scope only.</t>
        </is>
      </c>
      <c r="E101" s="2" t="inlineStr">
        <is>
          <t xml:space="preserve">Not set</t>
        </is>
      </c>
      <c r="F101" s="2" t="inlineStr">
        <is>
          <t xml:space="preserve">Not tested</t>
        </is>
      </c>
      <c r="G101" s="2" t="inlineStr">
        <is>
          <t xml:space="preserve">Pending</t>
        </is>
      </c>
      <c r="H101" s="2" t="inlineStr">
        <is>
          <t xml:space="preserve"/>
        </is>
      </c>
      <c r="I101" s="2" t="inlineStr">
        <is>
          <t xml:space="preserve"/>
        </is>
      </c>
      <c r="J101" s="2" t="inlineStr">
        <is>
          <t xml:space="preserve"/>
        </is>
      </c>
      <c r="K101" s="2" t="inlineStr">
        <is>
          <t xml:space="preserve"/>
        </is>
      </c>
      <c r="L101" s="2" t="inlineStr">
        <is>
          <t xml:space="preserve"/>
        </is>
      </c>
      <c r="M101" s="2" t="inlineStr">
        <is>
          <t xml:space="preserve"/>
        </is>
      </c>
      <c r="N101" s="2" t="inlineStr">
        <is>
          <t xml:space="preserve"/>
        </is>
      </c>
      <c r="O101" s="2" t="inlineStr">
        <is>
          <t xml:space="preserve"/>
        </is>
      </c>
      <c r="P101" s="2" t="inlineStr">
        <is>
          <t xml:space="preserve">docs/features/SOD.md; frontend/tests/sod-bulk-review.spec.ts</t>
        </is>
      </c>
      <c r="Q101" s="2" t="inlineStr">
        <is>
          <t xml:space="preserve">Not assessed</t>
        </is>
      </c>
      <c r="R101" s="2" t="inlineStr">
        <is>
          <t xml:space="preserve">Unclassified</t>
        </is>
      </c>
      <c r="S101" s="2" t="inlineStr">
        <is>
          <t xml:space="preserve">Not started</t>
        </is>
      </c>
    </row>
    <row r="102">
      <c r="A102" s="2" t="inlineStr">
        <is>
          <t xml:space="preserve">SODV-007</t>
        </is>
      </c>
      <c r="B102" s="2" t="inlineStr">
        <is>
          <t xml:space="preserve">SoD Reviews</t>
        </is>
      </c>
      <c r="C102" s="2" t="inlineStr">
        <is>
          <t xml:space="preserve">Work Queue and Remediation › Shared KPI filter controls</t>
        </is>
      </c>
      <c r="D102" s="2" t="inlineStr">
        <is>
          <t xml:space="preserve">Work Queue and Remediation filter tiles are the same Kpi control (size, selected state, spacing, typography, hover and focus) with their own filter logic.</t>
        </is>
      </c>
      <c r="E102" s="2" t="inlineStr">
        <is>
          <t xml:space="preserve">Not set</t>
        </is>
      </c>
      <c r="F102" s="2" t="inlineStr">
        <is>
          <t xml:space="preserve">Not tested</t>
        </is>
      </c>
      <c r="G102" s="2" t="inlineStr">
        <is>
          <t xml:space="preserve">Pending</t>
        </is>
      </c>
      <c r="H102" s="2" t="inlineStr">
        <is>
          <t xml:space="preserve">frontend/tests/sod-reviews-r6.spec.ts</t>
        </is>
      </c>
      <c r="I102" s="2" t="inlineStr">
        <is>
          <t xml:space="preserve"/>
        </is>
      </c>
      <c r="J102" s="2" t="inlineStr">
        <is>
          <t xml:space="preserve"/>
        </is>
      </c>
      <c r="K102" s="2" t="inlineStr">
        <is>
          <t xml:space="preserve"/>
        </is>
      </c>
      <c r="L102" s="2" t="inlineStr">
        <is>
          <t xml:space="preserve"/>
        </is>
      </c>
      <c r="M102" s="2" t="inlineStr">
        <is>
          <t xml:space="preserve"/>
        </is>
      </c>
      <c r="N102" s="2" t="inlineStr">
        <is>
          <t xml:space="preserve">Compare the two pages in both themes.</t>
        </is>
      </c>
      <c r="O102" s="2" t="inlineStr">
        <is>
          <t xml:space="preserve">The tracking toggles (All rows, Awaiting action, Verified removals) remain buttons because they have no counts.</t>
        </is>
      </c>
      <c r="P102" s="2" t="inlineStr">
        <is>
          <t xml:space="preserve">frontend/src/components/Sod/SodRemediation.tsx; frontend/src/components/Sod/SodReviews.tsx</t>
        </is>
      </c>
      <c r="Q102" s="2" t="inlineStr">
        <is>
          <t xml:space="preserve">Implemented</t>
        </is>
      </c>
      <c r="R102" s="2" t="inlineStr">
        <is>
          <t xml:space="preserve">Unclassified</t>
        </is>
      </c>
      <c r="S102" s="2" t="inlineStr">
        <is>
          <t xml:space="preserve">Not started</t>
        </is>
      </c>
    </row>
    <row r="103">
      <c r="A103" s="2" t="inlineStr">
        <is>
          <t xml:space="preserve">SODV-008</t>
        </is>
      </c>
      <c r="B103" s="2" t="inlineStr">
        <is>
          <t xml:space="preserve">SoD Reviews</t>
        </is>
      </c>
      <c r="C103" s="2" t="inlineStr">
        <is>
          <t xml:space="preserve">Work Queue and Remediation › Compatibility with the shared SoD filter context</t>
        </is>
      </c>
      <c r="D103" s="2" t="inlineStr">
        <is>
          <t xml:space="preserve">Tile filters work alongside the shared SoD filters; shared selections persist across both pages and tile changes.</t>
        </is>
      </c>
      <c r="E103" s="2" t="inlineStr">
        <is>
          <t xml:space="preserve">Not set</t>
        </is>
      </c>
      <c r="F103" s="2" t="inlineStr">
        <is>
          <t xml:space="preserve">Not tested</t>
        </is>
      </c>
      <c r="G103" s="2" t="inlineStr">
        <is>
          <t xml:space="preserve">Pending</t>
        </is>
      </c>
      <c r="H103" s="2" t="inlineStr">
        <is>
          <t xml:space="preserve">frontend/tests/sod-reviews-r6.spec.ts; frontend/tests/sod-shared-filters.spec.ts</t>
        </is>
      </c>
      <c r="I103" s="2" t="inlineStr">
        <is>
          <t xml:space="preserve"/>
        </is>
      </c>
      <c r="J103" s="2" t="inlineStr">
        <is>
          <t xml:space="preserve"/>
        </is>
      </c>
      <c r="K103" s="2" t="inlineStr">
        <is>
          <t xml:space="preserve"/>
        </is>
      </c>
      <c r="L103" s="2" t="inlineStr">
        <is>
          <t xml:space="preserve"/>
        </is>
      </c>
      <c r="M103" s="2" t="inlineStr">
        <is>
          <t xml:space="preserve"/>
        </is>
      </c>
      <c r="N103" s="2" t="inlineStr">
        <is>
          <t xml:space="preserve">Try a shared group filter together with each tile.</t>
        </is>
      </c>
      <c r="O103" s="2" t="inlineStr">
        <is>
          <t xml:space="preserve">None known.</t>
        </is>
      </c>
      <c r="P103" s="2" t="inlineStr">
        <is>
          <t xml:space="preserve">frontend/src/components/Sod/SodShared.tsx</t>
        </is>
      </c>
      <c r="Q103" s="2" t="inlineStr">
        <is>
          <t xml:space="preserve">Implemented</t>
        </is>
      </c>
      <c r="R103" s="2" t="inlineStr">
        <is>
          <t xml:space="preserve">Unclassified</t>
        </is>
      </c>
      <c r="S103" s="2" t="inlineStr">
        <is>
          <t xml:space="preserve">Not started</t>
        </is>
      </c>
    </row>
    <row r="104">
      <c r="A104" s="2" t="inlineStr">
        <is>
          <t xml:space="preserve">SODV-009</t>
        </is>
      </c>
      <c r="B104" s="2" t="inlineStr">
        <is>
          <t xml:space="preserve">SoD Reviews</t>
        </is>
      </c>
      <c r="C104" s="2" t="inlineStr">
        <is>
          <t xml:space="preserve">Work queue and Remediation › SAP User Group column</t>
        </is>
      </c>
      <c r="D104" s="2" t="inlineStr">
        <is>
          <t xml:space="preserve">Work queue: SAP user, SAP User Group, Progress, Activities, Role assignments, Risk acceptance, Open. Remediation shows the assignment group next to the SAP user; progress, decisions and action tracking are unchanged.</t>
        </is>
      </c>
      <c r="E104" s="2" t="inlineStr">
        <is>
          <t xml:space="preserve">Not set</t>
        </is>
      </c>
      <c r="F104" s="2" t="inlineStr">
        <is>
          <t xml:space="preserve">Not tested</t>
        </is>
      </c>
      <c r="G104" s="2" t="inlineStr">
        <is>
          <t xml:space="preserve">Pending</t>
        </is>
      </c>
      <c r="H104" s="2" t="inlineStr">
        <is>
          <t xml:space="preserve">frontend/tests/sod-user-group-column.spec.ts; backend/tests/test_sod_governance.py</t>
        </is>
      </c>
      <c r="I104" s="2" t="inlineStr">
        <is>
          <t xml:space="preserve"/>
        </is>
      </c>
      <c r="J104" s="2" t="inlineStr">
        <is>
          <t xml:space="preserve"/>
        </is>
      </c>
      <c r="K104" s="2" t="inlineStr">
        <is>
          <t xml:space="preserve">The removal-recommended note moved into the Progress cell.</t>
        </is>
      </c>
      <c r="L104" s="2" t="inlineStr">
        <is>
          <t xml:space="preserve"/>
        </is>
      </c>
      <c r="M104" s="2" t="inlineStr">
        <is>
          <t xml:space="preserve"/>
        </is>
      </c>
      <c r="N104" s="2" t="inlineStr">
        <is>
          <t xml:space="preserve">Check the queue and the remediation table with decisions in both themes.</t>
        </is>
      </c>
      <c r="O104" s="2" t="inlineStr">
        <is>
          <t xml:space="preserve">The remediation header order is only asserted when remediation rows exist in the fixture.</t>
        </is>
      </c>
      <c r="P104" s="2" t="inlineStr">
        <is>
          <t xml:space="preserve">frontend/src/components/Sod/SodReviews.tsx; frontend/src/components/Sod/SodRemediation.tsx</t>
        </is>
      </c>
      <c r="Q104" s="2" t="inlineStr">
        <is>
          <t xml:space="preserve">Implemented</t>
        </is>
      </c>
      <c r="R104" s="2" t="inlineStr">
        <is>
          <t xml:space="preserve">Unclassified</t>
        </is>
      </c>
      <c r="S104" s="2" t="inlineStr">
        <is>
          <t xml:space="preserve">Not started</t>
        </is>
      </c>
    </row>
    <row r="105">
      <c r="A105" s="2" t="inlineStr">
        <is>
          <t xml:space="preserve">SODR-001</t>
        </is>
      </c>
      <c r="B105" s="2" t="inlineStr">
        <is>
          <t xml:space="preserve">SoD Reviews</t>
        </is>
      </c>
      <c r="C105" s="2" t="inlineStr">
        <is>
          <t xml:space="preserve">Remediation › Recommended handling</t>
        </is>
      </c>
      <c r="D105" s="2" t="inlineStr">
        <is>
          <t xml:space="preserve">Groups (remove, investigate, compensating control, maintain, no action) count decided items only.</t>
        </is>
      </c>
      <c r="E105" s="2" t="inlineStr">
        <is>
          <t xml:space="preserve">Not set</t>
        </is>
      </c>
      <c r="F105" s="2" t="inlineStr">
        <is>
          <t xml:space="preserve">Not tested</t>
        </is>
      </c>
      <c r="G105" s="2" t="inlineStr">
        <is>
          <t xml:space="preserve">Pending</t>
        </is>
      </c>
      <c r="H105" s="2" t="inlineStr">
        <is>
          <t xml:space="preserve"/>
        </is>
      </c>
      <c r="I105" s="2" t="inlineStr">
        <is>
          <t xml:space="preserve"/>
        </is>
      </c>
      <c r="J105" s="2" t="inlineStr">
        <is>
          <t xml:space="preserve"/>
        </is>
      </c>
      <c r="K105" s="2" t="inlineStr">
        <is>
          <t xml:space="preserve"/>
        </is>
      </c>
      <c r="L105" s="2" t="inlineStr">
        <is>
          <t xml:space="preserve"/>
        </is>
      </c>
      <c r="M105" s="2" t="inlineStr">
        <is>
          <t xml:space="preserve"/>
        </is>
      </c>
      <c r="N105" s="2" t="inlineStr">
        <is>
          <t xml:space="preserve"/>
        </is>
      </c>
      <c r="O105" s="2" t="inlineStr">
        <is>
          <t xml:space="preserve"/>
        </is>
      </c>
      <c r="P105" s="2" t="inlineStr">
        <is>
          <t xml:space="preserve">docs/features/SOD.md; frontend/tests/sod-governance.spec.ts</t>
        </is>
      </c>
      <c r="Q105" s="2" t="inlineStr">
        <is>
          <t xml:space="preserve">Not assessed</t>
        </is>
      </c>
      <c r="R105" s="2" t="inlineStr">
        <is>
          <t xml:space="preserve">Unclassified</t>
        </is>
      </c>
      <c r="S105" s="2" t="inlineStr">
        <is>
          <t xml:space="preserve">Not started</t>
        </is>
      </c>
    </row>
    <row r="106">
      <c r="A106" s="2" t="inlineStr">
        <is>
          <t xml:space="preserve">SODR-002</t>
        </is>
      </c>
      <c r="B106" s="2" t="inlineStr">
        <is>
          <t xml:space="preserve">SoD Reviews</t>
        </is>
      </c>
      <c r="C106" s="2" t="inlineStr">
        <is>
          <t xml:space="preserve">Remediation › Tracked actions</t>
        </is>
      </c>
      <c r="D106" s="2" t="inlineStr">
        <is>
          <t xml:space="preserve">Actions are created and updated with owner and due date; completion needs evidence.</t>
        </is>
      </c>
      <c r="E106" s="2" t="inlineStr">
        <is>
          <t xml:space="preserve">Not set</t>
        </is>
      </c>
      <c r="F106" s="2" t="inlineStr">
        <is>
          <t xml:space="preserve">Not tested</t>
        </is>
      </c>
      <c r="G106" s="2" t="inlineStr">
        <is>
          <t xml:space="preserve">Pending</t>
        </is>
      </c>
      <c r="H106" s="2" t="inlineStr">
        <is>
          <t xml:space="preserve"/>
        </is>
      </c>
      <c r="I106" s="2" t="inlineStr">
        <is>
          <t xml:space="preserve"/>
        </is>
      </c>
      <c r="J106" s="2" t="inlineStr">
        <is>
          <t xml:space="preserve"/>
        </is>
      </c>
      <c r="K106" s="2" t="inlineStr">
        <is>
          <t xml:space="preserve"/>
        </is>
      </c>
      <c r="L106" s="2" t="inlineStr">
        <is>
          <t xml:space="preserve"/>
        </is>
      </c>
      <c r="M106" s="2" t="inlineStr">
        <is>
          <t xml:space="preserve"/>
        </is>
      </c>
      <c r="N106" s="2" t="inlineStr">
        <is>
          <t xml:space="preserve"/>
        </is>
      </c>
      <c r="O106" s="2" t="inlineStr">
        <is>
          <t xml:space="preserve"/>
        </is>
      </c>
      <c r="P106" s="2" t="inlineStr">
        <is>
          <t xml:space="preserve">docs/features/SOD.md; frontend/tests/sod-governance.spec.ts</t>
        </is>
      </c>
      <c r="Q106" s="2" t="inlineStr">
        <is>
          <t xml:space="preserve">Not assessed</t>
        </is>
      </c>
      <c r="R106" s="2" t="inlineStr">
        <is>
          <t xml:space="preserve">Unclassified</t>
        </is>
      </c>
      <c r="S106" s="2" t="inlineStr">
        <is>
          <t xml:space="preserve">Not started</t>
        </is>
      </c>
    </row>
    <row r="107">
      <c r="A107" s="2" t="inlineStr">
        <is>
          <t xml:space="preserve">SODR-003</t>
        </is>
      </c>
      <c r="B107" s="2" t="inlineStr">
        <is>
          <t xml:space="preserve">SoD Reviews</t>
        </is>
      </c>
      <c r="C107" s="2" t="inlineStr">
        <is>
          <t xml:space="preserve">Remediation › Awaiting action filter</t>
        </is>
      </c>
      <c r="D107" s="2" t="inlineStr">
        <is>
          <t xml:space="preserve">The Awaiting action toggle lists removal recommendations without an action.</t>
        </is>
      </c>
      <c r="E107" s="2" t="inlineStr">
        <is>
          <t xml:space="preserve">Not set</t>
        </is>
      </c>
      <c r="F107" s="2" t="inlineStr">
        <is>
          <t xml:space="preserve">Not tested</t>
        </is>
      </c>
      <c r="G107" s="2" t="inlineStr">
        <is>
          <t xml:space="preserve">Pending</t>
        </is>
      </c>
      <c r="H107" s="2" t="inlineStr">
        <is>
          <t xml:space="preserve"/>
        </is>
      </c>
      <c r="I107" s="2" t="inlineStr">
        <is>
          <t xml:space="preserve"/>
        </is>
      </c>
      <c r="J107" s="2" t="inlineStr">
        <is>
          <t xml:space="preserve"/>
        </is>
      </c>
      <c r="K107" s="2" t="inlineStr">
        <is>
          <t xml:space="preserve"/>
        </is>
      </c>
      <c r="L107" s="2" t="inlineStr">
        <is>
          <t xml:space="preserve"/>
        </is>
      </c>
      <c r="M107" s="2" t="inlineStr">
        <is>
          <t xml:space="preserve"/>
        </is>
      </c>
      <c r="N107" s="2" t="inlineStr">
        <is>
          <t xml:space="preserve"/>
        </is>
      </c>
      <c r="O107" s="2" t="inlineStr">
        <is>
          <t xml:space="preserve"/>
        </is>
      </c>
      <c r="P107" s="2" t="inlineStr">
        <is>
          <t xml:space="preserve">docs/features/SOD.md; frontend/tests/sod-overview-actionable.spec.ts</t>
        </is>
      </c>
      <c r="Q107" s="2" t="inlineStr">
        <is>
          <t xml:space="preserve">Not assessed</t>
        </is>
      </c>
      <c r="R107" s="2" t="inlineStr">
        <is>
          <t xml:space="preserve">Unclassified</t>
        </is>
      </c>
      <c r="S107" s="2" t="inlineStr">
        <is>
          <t xml:space="preserve">Not started</t>
        </is>
      </c>
    </row>
    <row r="108">
      <c r="A108" s="2" t="inlineStr">
        <is>
          <t xml:space="preserve">SODR-004</t>
        </is>
      </c>
      <c r="B108" s="2" t="inlineStr">
        <is>
          <t xml:space="preserve">SoD Reviews</t>
        </is>
      </c>
      <c r="C108" s="2" t="inlineStr">
        <is>
          <t xml:space="preserve">Remediation › Verified removals</t>
        </is>
      </c>
      <c r="D108" s="2" t="inlineStr">
        <is>
          <t xml:space="preserve">A removal verifies only with a newer User-Role import without the assignment; completed status alone never verifies.</t>
        </is>
      </c>
      <c r="E108" s="2" t="inlineStr">
        <is>
          <t xml:space="preserve">Not set</t>
        </is>
      </c>
      <c r="F108" s="2" t="inlineStr">
        <is>
          <t xml:space="preserve">Not tested</t>
        </is>
      </c>
      <c r="G108" s="2" t="inlineStr">
        <is>
          <t xml:space="preserve">Pending</t>
        </is>
      </c>
      <c r="H108" s="2" t="inlineStr">
        <is>
          <t xml:space="preserve"/>
        </is>
      </c>
      <c r="I108" s="2" t="inlineStr">
        <is>
          <t xml:space="preserve"/>
        </is>
      </c>
      <c r="J108" s="2" t="inlineStr">
        <is>
          <t xml:space="preserve"/>
        </is>
      </c>
      <c r="K108" s="2" t="inlineStr">
        <is>
          <t xml:space="preserve"/>
        </is>
      </c>
      <c r="L108" s="2" t="inlineStr">
        <is>
          <t xml:space="preserve"/>
        </is>
      </c>
      <c r="M108" s="2" t="inlineStr">
        <is>
          <t xml:space="preserve"/>
        </is>
      </c>
      <c r="N108" s="2" t="inlineStr">
        <is>
          <t xml:space="preserve"/>
        </is>
      </c>
      <c r="O108" s="2" t="inlineStr">
        <is>
          <t xml:space="preserve"/>
        </is>
      </c>
      <c r="P108" s="2" t="inlineStr">
        <is>
          <t xml:space="preserve">docs/features/SOD.md; frontend/tests/sod-overview-actionable.spec.ts</t>
        </is>
      </c>
      <c r="Q108" s="2" t="inlineStr">
        <is>
          <t xml:space="preserve">Not assessed</t>
        </is>
      </c>
      <c r="R108" s="2" t="inlineStr">
        <is>
          <t xml:space="preserve">Unclassified</t>
        </is>
      </c>
      <c r="S108" s="2" t="inlineStr">
        <is>
          <t xml:space="preserve">Not started</t>
        </is>
      </c>
    </row>
    <row r="109">
      <c r="A109" s="2" t="inlineStr">
        <is>
          <t xml:space="preserve">SODR-005</t>
        </is>
      </c>
      <c r="B109" s="2" t="inlineStr">
        <is>
          <t xml:space="preserve">SoD Reviews</t>
        </is>
      </c>
      <c r="C109" s="2" t="inlineStr">
        <is>
          <t xml:space="preserve">Remediation › Export</t>
        </is>
      </c>
      <c r="D109" s="2" t="inlineStr">
        <is>
          <t xml:space="preserve">Remediation CSV follows the active filters and tracking toggle.</t>
        </is>
      </c>
      <c r="E109" s="2" t="inlineStr">
        <is>
          <t xml:space="preserve">Not set</t>
        </is>
      </c>
      <c r="F109" s="2" t="inlineStr">
        <is>
          <t xml:space="preserve">Not tested</t>
        </is>
      </c>
      <c r="G109" s="2" t="inlineStr">
        <is>
          <t xml:space="preserve">Pending</t>
        </is>
      </c>
      <c r="H109" s="2" t="inlineStr">
        <is>
          <t xml:space="preserve"/>
        </is>
      </c>
      <c r="I109" s="2" t="inlineStr">
        <is>
          <t xml:space="preserve"/>
        </is>
      </c>
      <c r="J109" s="2" t="inlineStr">
        <is>
          <t xml:space="preserve"/>
        </is>
      </c>
      <c r="K109" s="2" t="inlineStr">
        <is>
          <t xml:space="preserve"/>
        </is>
      </c>
      <c r="L109" s="2" t="inlineStr">
        <is>
          <t xml:space="preserve"/>
        </is>
      </c>
      <c r="M109" s="2" t="inlineStr">
        <is>
          <t xml:space="preserve"/>
        </is>
      </c>
      <c r="N109" s="2" t="inlineStr">
        <is>
          <t xml:space="preserve"/>
        </is>
      </c>
      <c r="O109" s="2" t="inlineStr">
        <is>
          <t xml:space="preserve"/>
        </is>
      </c>
      <c r="P109" s="2" t="inlineStr">
        <is>
          <t xml:space="preserve">docs/features/SOD.md; frontend/tests/sod-export-ux.spec.ts</t>
        </is>
      </c>
      <c r="Q109" s="2" t="inlineStr">
        <is>
          <t xml:space="preserve">Not assessed</t>
        </is>
      </c>
      <c r="R109" s="2" t="inlineStr">
        <is>
          <t xml:space="preserve">Unclassified</t>
        </is>
      </c>
      <c r="S109" s="2" t="inlineStr">
        <is>
          <t xml:space="preserve">Not started</t>
        </is>
      </c>
    </row>
    <row r="110">
      <c r="A110" s="2" t="inlineStr">
        <is>
          <t xml:space="preserve">SODR-006</t>
        </is>
      </c>
      <c r="B110" s="2" t="inlineStr">
        <is>
          <t xml:space="preserve">SoD Reviews</t>
        </is>
      </c>
      <c r="C110" s="2" t="inlineStr">
        <is>
          <t xml:space="preserve">Remediation › Table layout</t>
        </is>
      </c>
      <c r="D110" s="2" t="inlineStr">
        <is>
          <t xml:space="preserve">The remediation table is usable at 1280 px with the filter sidebar open.</t>
        </is>
      </c>
      <c r="E110" s="2" t="inlineStr">
        <is>
          <t xml:space="preserve">Low</t>
        </is>
      </c>
      <c r="F110" s="2" t="inlineStr">
        <is>
          <t xml:space="preserve">Needs improvement</t>
        </is>
      </c>
      <c r="G110" s="2" t="inlineStr">
        <is>
          <t xml:space="preserve">Pending</t>
        </is>
      </c>
      <c r="H110" s="2" t="inlineStr">
        <is>
          <t xml:space="preserve"/>
        </is>
      </c>
      <c r="I110" s="2" t="inlineStr">
        <is>
          <t xml:space="preserve"/>
        </is>
      </c>
      <c r="J110" s="2" t="inlineStr">
        <is>
          <t xml:space="preserve"/>
        </is>
      </c>
      <c r="K110" s="2" t="inlineStr">
        <is>
          <t xml:space="preserve">Round 3 visual QA: at 1280 px with the filter sidebar open the table scrolls horizontally inside its card, so the Actions column is partly hidden until scrolled. The page itself does not overflow.</t>
        </is>
      </c>
      <c r="L110" s="2" t="inlineStr">
        <is>
          <t xml:space="preserve"/>
        </is>
      </c>
      <c r="M110" s="2" t="inlineStr">
        <is>
          <t xml:space="preserve"/>
        </is>
      </c>
      <c r="N110" s="2" t="inlineStr">
        <is>
          <t xml:space="preserve"/>
        </is>
      </c>
      <c r="O110" s="2" t="inlineStr">
        <is>
          <t xml:space="preserve"/>
        </is>
      </c>
      <c r="P110" s="2" t="inlineStr">
        <is>
          <t xml:space="preserve">docs/features/SOD.md; frontend/tests/sod-layout.spec.ts</t>
        </is>
      </c>
      <c r="Q110" s="2" t="inlineStr">
        <is>
          <t xml:space="preserve">Not assessed</t>
        </is>
      </c>
      <c r="R110" s="2" t="inlineStr">
        <is>
          <t xml:space="preserve">Improvement opportunity</t>
        </is>
      </c>
      <c r="S110" s="2" t="inlineStr">
        <is>
          <t xml:space="preserve">Not started</t>
        </is>
      </c>
    </row>
    <row r="111">
      <c r="A111" s="2" t="inlineStr">
        <is>
          <t xml:space="preserve">SODP-001</t>
        </is>
      </c>
      <c r="B111" s="2" t="inlineStr">
        <is>
          <t xml:space="preserve">Review Periods</t>
        </is>
      </c>
      <c r="C111" s="2" t="inlineStr">
        <is>
          <t xml:space="preserve">Review Periods › Create period</t>
        </is>
      </c>
      <c r="D111" s="2" t="inlineStr">
        <is>
          <t xml:space="preserve">Creating a period captures an immutable snapshot of evidence and decisions.</t>
        </is>
      </c>
      <c r="E111" s="2" t="inlineStr">
        <is>
          <t xml:space="preserve">Not set</t>
        </is>
      </c>
      <c r="F111" s="2" t="inlineStr">
        <is>
          <t xml:space="preserve">Not tested</t>
        </is>
      </c>
      <c r="G111" s="2" t="inlineStr">
        <is>
          <t xml:space="preserve">Pending</t>
        </is>
      </c>
      <c r="H111" s="2" t="inlineStr">
        <is>
          <t xml:space="preserve"/>
        </is>
      </c>
      <c r="I111" s="2" t="inlineStr">
        <is>
          <t xml:space="preserve"/>
        </is>
      </c>
      <c r="J111" s="2" t="inlineStr">
        <is>
          <t xml:space="preserve"/>
        </is>
      </c>
      <c r="K111" s="2" t="inlineStr">
        <is>
          <t xml:space="preserve"/>
        </is>
      </c>
      <c r="L111" s="2" t="inlineStr">
        <is>
          <t xml:space="preserve"/>
        </is>
      </c>
      <c r="M111" s="2" t="inlineStr">
        <is>
          <t xml:space="preserve"/>
        </is>
      </c>
      <c r="N111" s="2" t="inlineStr">
        <is>
          <t xml:space="preserve"/>
        </is>
      </c>
      <c r="O111" s="2" t="inlineStr">
        <is>
          <t xml:space="preserve"/>
        </is>
      </c>
      <c r="P111" s="2" t="inlineStr">
        <is>
          <t xml:space="preserve">docs/features/SOD.md; frontend/tests/sod-periods.spec.ts</t>
        </is>
      </c>
      <c r="Q111" s="2" t="inlineStr">
        <is>
          <t xml:space="preserve">Not assessed</t>
        </is>
      </c>
      <c r="R111" s="2" t="inlineStr">
        <is>
          <t xml:space="preserve">Unclassified</t>
        </is>
      </c>
      <c r="S111" s="2" t="inlineStr">
        <is>
          <t xml:space="preserve">Not started</t>
        </is>
      </c>
    </row>
    <row r="112">
      <c r="A112" s="2" t="inlineStr">
        <is>
          <t xml:space="preserve">SODP-002</t>
        </is>
      </c>
      <c r="B112" s="2" t="inlineStr">
        <is>
          <t xml:space="preserve">Review Periods</t>
        </is>
      </c>
      <c r="C112" s="2" t="inlineStr">
        <is>
          <t xml:space="preserve">Review Periods › Lifecycle</t>
        </is>
      </c>
      <c r="D112" s="2" t="inlineStr">
        <is>
          <t xml:space="preserve">Period states move only along allowed transitions with clear blocking messages.</t>
        </is>
      </c>
      <c r="E112" s="2" t="inlineStr">
        <is>
          <t xml:space="preserve">Not set</t>
        </is>
      </c>
      <c r="F112" s="2" t="inlineStr">
        <is>
          <t xml:space="preserve">Not tested</t>
        </is>
      </c>
      <c r="G112" s="2" t="inlineStr">
        <is>
          <t xml:space="preserve">Pending</t>
        </is>
      </c>
      <c r="H112" s="2" t="inlineStr">
        <is>
          <t xml:space="preserve"/>
        </is>
      </c>
      <c r="I112" s="2" t="inlineStr">
        <is>
          <t xml:space="preserve"/>
        </is>
      </c>
      <c r="J112" s="2" t="inlineStr">
        <is>
          <t xml:space="preserve"/>
        </is>
      </c>
      <c r="K112" s="2" t="inlineStr">
        <is>
          <t xml:space="preserve"/>
        </is>
      </c>
      <c r="L112" s="2" t="inlineStr">
        <is>
          <t xml:space="preserve"/>
        </is>
      </c>
      <c r="M112" s="2" t="inlineStr">
        <is>
          <t xml:space="preserve"/>
        </is>
      </c>
      <c r="N112" s="2" t="inlineStr">
        <is>
          <t xml:space="preserve"/>
        </is>
      </c>
      <c r="O112" s="2" t="inlineStr">
        <is>
          <t xml:space="preserve"/>
        </is>
      </c>
      <c r="P112" s="2" t="inlineStr">
        <is>
          <t xml:space="preserve">docs/features/SOD.md; frontend/tests/sod-periods.spec.ts</t>
        </is>
      </c>
      <c r="Q112" s="2" t="inlineStr">
        <is>
          <t xml:space="preserve">Not assessed</t>
        </is>
      </c>
      <c r="R112" s="2" t="inlineStr">
        <is>
          <t xml:space="preserve">Unclassified</t>
        </is>
      </c>
      <c r="S112" s="2" t="inlineStr">
        <is>
          <t xml:space="preserve">Not started</t>
        </is>
      </c>
    </row>
    <row r="113">
      <c r="A113" s="2" t="inlineStr">
        <is>
          <t xml:space="preserve">SODP-003</t>
        </is>
      </c>
      <c r="B113" s="2" t="inlineStr">
        <is>
          <t xml:space="preserve">Review Periods</t>
        </is>
      </c>
      <c r="C113" s="2" t="inlineStr">
        <is>
          <t xml:space="preserve">Review Periods › Compare periods</t>
        </is>
      </c>
      <c r="D113" s="2" t="inlineStr">
        <is>
          <t xml:space="preserve">Comparison shows new, removed and changed findings between two periods.</t>
        </is>
      </c>
      <c r="E113" s="2" t="inlineStr">
        <is>
          <t xml:space="preserve">Not set</t>
        </is>
      </c>
      <c r="F113" s="2" t="inlineStr">
        <is>
          <t xml:space="preserve">Not tested</t>
        </is>
      </c>
      <c r="G113" s="2" t="inlineStr">
        <is>
          <t xml:space="preserve">Pending</t>
        </is>
      </c>
      <c r="H113" s="2" t="inlineStr">
        <is>
          <t xml:space="preserve"/>
        </is>
      </c>
      <c r="I113" s="2" t="inlineStr">
        <is>
          <t xml:space="preserve"/>
        </is>
      </c>
      <c r="J113" s="2" t="inlineStr">
        <is>
          <t xml:space="preserve"/>
        </is>
      </c>
      <c r="K113" s="2" t="inlineStr">
        <is>
          <t xml:space="preserve"/>
        </is>
      </c>
      <c r="L113" s="2" t="inlineStr">
        <is>
          <t xml:space="preserve"/>
        </is>
      </c>
      <c r="M113" s="2" t="inlineStr">
        <is>
          <t xml:space="preserve"/>
        </is>
      </c>
      <c r="N113" s="2" t="inlineStr">
        <is>
          <t xml:space="preserve"/>
        </is>
      </c>
      <c r="O113" s="2" t="inlineStr">
        <is>
          <t xml:space="preserve"/>
        </is>
      </c>
      <c r="P113" s="2" t="inlineStr">
        <is>
          <t xml:space="preserve">docs/features/SOD.md; frontend/tests/sod-periods.spec.ts</t>
        </is>
      </c>
      <c r="Q113" s="2" t="inlineStr">
        <is>
          <t xml:space="preserve">Not assessed</t>
        </is>
      </c>
      <c r="R113" s="2" t="inlineStr">
        <is>
          <t xml:space="preserve">Unclassified</t>
        </is>
      </c>
      <c r="S113" s="2" t="inlineStr">
        <is>
          <t xml:space="preserve">Not started</t>
        </is>
      </c>
    </row>
    <row r="114">
      <c r="A114" s="2" t="inlineStr">
        <is>
          <t xml:space="preserve">SODP-004</t>
        </is>
      </c>
      <c r="B114" s="2" t="inlineStr">
        <is>
          <t xml:space="preserve">Review Periods</t>
        </is>
      </c>
      <c r="C114" s="2" t="inlineStr">
        <is>
          <t xml:space="preserve">Review Periods › Approval</t>
        </is>
      </c>
      <c r="D114" s="2" t="inlineStr">
        <is>
          <t xml:space="preserve">Approval records approver and date and blocks while required reviews are outstanding.</t>
        </is>
      </c>
      <c r="E114" s="2" t="inlineStr">
        <is>
          <t xml:space="preserve">Not set</t>
        </is>
      </c>
      <c r="F114" s="2" t="inlineStr">
        <is>
          <t xml:space="preserve">Not tested</t>
        </is>
      </c>
      <c r="G114" s="2" t="inlineStr">
        <is>
          <t xml:space="preserve">Pending</t>
        </is>
      </c>
      <c r="H114" s="2" t="inlineStr">
        <is>
          <t xml:space="preserve"/>
        </is>
      </c>
      <c r="I114" s="2" t="inlineStr">
        <is>
          <t xml:space="preserve"/>
        </is>
      </c>
      <c r="J114" s="2" t="inlineStr">
        <is>
          <t xml:space="preserve"/>
        </is>
      </c>
      <c r="K114" s="2" t="inlineStr">
        <is>
          <t xml:space="preserve"/>
        </is>
      </c>
      <c r="L114" s="2" t="inlineStr">
        <is>
          <t xml:space="preserve"/>
        </is>
      </c>
      <c r="M114" s="2" t="inlineStr">
        <is>
          <t xml:space="preserve"/>
        </is>
      </c>
      <c r="N114" s="2" t="inlineStr">
        <is>
          <t xml:space="preserve"/>
        </is>
      </c>
      <c r="O114" s="2" t="inlineStr">
        <is>
          <t xml:space="preserve"/>
        </is>
      </c>
      <c r="P114" s="2" t="inlineStr">
        <is>
          <t xml:space="preserve">docs/features/SOD.md; frontend/tests/sod-periods.spec.ts</t>
        </is>
      </c>
      <c r="Q114" s="2" t="inlineStr">
        <is>
          <t xml:space="preserve">Not assessed</t>
        </is>
      </c>
      <c r="R114" s="2" t="inlineStr">
        <is>
          <t xml:space="preserve">Unclassified</t>
        </is>
      </c>
      <c r="S114" s="2" t="inlineStr">
        <is>
          <t xml:space="preserve">Not started</t>
        </is>
      </c>
    </row>
    <row r="115">
      <c r="A115" s="2" t="inlineStr">
        <is>
          <t xml:space="preserve">SODP-005</t>
        </is>
      </c>
      <c r="B115" s="2" t="inlineStr">
        <is>
          <t xml:space="preserve">Review Periods</t>
        </is>
      </c>
      <c r="C115" s="2" t="inlineStr">
        <is>
          <t xml:space="preserve">Review Periods › Frozen contexts</t>
        </is>
      </c>
      <c r="D115" s="2" t="inlineStr">
        <is>
          <t xml:space="preserve">Frozen snapshots are read-only and never change when sources refresh.</t>
        </is>
      </c>
      <c r="E115" s="2" t="inlineStr">
        <is>
          <t xml:space="preserve">Not set</t>
        </is>
      </c>
      <c r="F115" s="2" t="inlineStr">
        <is>
          <t xml:space="preserve">Not tested</t>
        </is>
      </c>
      <c r="G115" s="2" t="inlineStr">
        <is>
          <t xml:space="preserve">Pending</t>
        </is>
      </c>
      <c r="H115" s="2" t="inlineStr">
        <is>
          <t xml:space="preserve"/>
        </is>
      </c>
      <c r="I115" s="2" t="inlineStr">
        <is>
          <t xml:space="preserve"/>
        </is>
      </c>
      <c r="J115" s="2" t="inlineStr">
        <is>
          <t xml:space="preserve"/>
        </is>
      </c>
      <c r="K115" s="2" t="inlineStr">
        <is>
          <t xml:space="preserve"/>
        </is>
      </c>
      <c r="L115" s="2" t="inlineStr">
        <is>
          <t xml:space="preserve"/>
        </is>
      </c>
      <c r="M115" s="2" t="inlineStr">
        <is>
          <t xml:space="preserve"/>
        </is>
      </c>
      <c r="N115" s="2" t="inlineStr">
        <is>
          <t xml:space="preserve"/>
        </is>
      </c>
      <c r="O115" s="2" t="inlineStr">
        <is>
          <t xml:space="preserve"/>
        </is>
      </c>
      <c r="P115" s="2" t="inlineStr">
        <is>
          <t xml:space="preserve">docs/features/SOD.md; frontend/tests/sod-periods.spec.ts</t>
        </is>
      </c>
      <c r="Q115" s="2" t="inlineStr">
        <is>
          <t xml:space="preserve">Not assessed</t>
        </is>
      </c>
      <c r="R115" s="2" t="inlineStr">
        <is>
          <t xml:space="preserve">Unclassified</t>
        </is>
      </c>
      <c r="S115" s="2" t="inlineStr">
        <is>
          <t xml:space="preserve">Not started</t>
        </is>
      </c>
    </row>
    <row r="116">
      <c r="A116" s="2" t="inlineStr">
        <is>
          <t xml:space="preserve">SODP-006</t>
        </is>
      </c>
      <c r="B116" s="2" t="inlineStr">
        <is>
          <t xml:space="preserve">Review Periods</t>
        </is>
      </c>
      <c r="C116" s="2" t="inlineStr">
        <is>
          <t xml:space="preserve">Review Periods › Delete review period dialog</t>
        </is>
      </c>
      <c r="D116" s="2" t="inlineStr">
        <is>
          <t xml:space="preserve">Recorded by and the period-name confirmation share a responsive grid row, consequences stay full width, Cancel and Delete permanently carry icons, and the confirmation, audit and snapshot rules are unchanged.</t>
        </is>
      </c>
      <c r="E116" s="2" t="inlineStr">
        <is>
          <t xml:space="preserve">Not set</t>
        </is>
      </c>
      <c r="F116" s="2" t="inlineStr">
        <is>
          <t xml:space="preserve">Not tested</t>
        </is>
      </c>
      <c r="G116" s="2" t="inlineStr">
        <is>
          <t xml:space="preserve">Pending</t>
        </is>
      </c>
      <c r="H116" s="2" t="inlineStr">
        <is>
          <t xml:space="preserve">frontend/tests/sod-periods-dialogs.spec.ts; frontend/tests/sod-periods.spec.ts</t>
        </is>
      </c>
      <c r="I116" s="2" t="inlineStr">
        <is>
          <t xml:space="preserve"/>
        </is>
      </c>
      <c r="J116" s="2" t="inlineStr">
        <is>
          <t xml:space="preserve"/>
        </is>
      </c>
      <c r="K116" s="2" t="inlineStr">
        <is>
          <t xml:space="preserve"/>
        </is>
      </c>
      <c r="L116" s="2" t="inlineStr">
        <is>
          <t xml:space="preserve"/>
        </is>
      </c>
      <c r="M116" s="2" t="inlineStr">
        <is>
          <t xml:space="preserve"/>
        </is>
      </c>
      <c r="N116" s="2" t="inlineStr">
        <is>
          <t xml:space="preserve"/>
        </is>
      </c>
      <c r="O116" s="2" t="inlineStr">
        <is>
          <t xml:space="preserve"/>
        </is>
      </c>
      <c r="P116" s="2" t="inlineStr">
        <is>
          <t xml:space="preserve">frontend/src/components/Sod/SodPeriods.tsx</t>
        </is>
      </c>
      <c r="Q116" s="2" t="inlineStr">
        <is>
          <t xml:space="preserve">Implemented</t>
        </is>
      </c>
      <c r="R116" s="2" t="inlineStr">
        <is>
          <t xml:space="preserve">Unclassified</t>
        </is>
      </c>
      <c r="S116" s="2" t="inlineStr">
        <is>
          <t xml:space="preserve">Not started</t>
        </is>
      </c>
    </row>
    <row r="117">
      <c r="A117" s="2" t="inlineStr">
        <is>
          <t xml:space="preserve">SODP-007</t>
        </is>
      </c>
      <c r="B117" s="2" t="inlineStr">
        <is>
          <t xml:space="preserve">Review Periods</t>
        </is>
      </c>
      <c r="C117" s="2" t="inlineStr">
        <is>
          <t xml:space="preserve">Review Periods › Create review period dialog</t>
        </is>
      </c>
      <c r="D117" s="2" t="inlineStr">
        <is>
          <t xml:space="preserve">Name and evaluation date, then period start and end, in a responsive two-column grid with logical tab order, single column on narrow screens and icons on Cancel and Capture review period; validation and snapshot creation are unchanged.</t>
        </is>
      </c>
      <c r="E117" s="2" t="inlineStr">
        <is>
          <t xml:space="preserve">Not set</t>
        </is>
      </c>
      <c r="F117" s="2" t="inlineStr">
        <is>
          <t xml:space="preserve">Not tested</t>
        </is>
      </c>
      <c r="G117" s="2" t="inlineStr">
        <is>
          <t xml:space="preserve">Pending</t>
        </is>
      </c>
      <c r="H117" s="2" t="inlineStr">
        <is>
          <t xml:space="preserve">frontend/tests/sod-periods-dialogs.spec.ts</t>
        </is>
      </c>
      <c r="I117" s="2" t="inlineStr">
        <is>
          <t xml:space="preserve"/>
        </is>
      </c>
      <c r="J117" s="2" t="inlineStr">
        <is>
          <t xml:space="preserve"/>
        </is>
      </c>
      <c r="K117" s="2" t="inlineStr">
        <is>
          <t xml:space="preserve"/>
        </is>
      </c>
      <c r="L117" s="2" t="inlineStr">
        <is>
          <t xml:space="preserve"/>
        </is>
      </c>
      <c r="M117" s="2" t="inlineStr">
        <is>
          <t xml:space="preserve"/>
        </is>
      </c>
      <c r="N117" s="2" t="inlineStr">
        <is>
          <t xml:space="preserve"/>
        </is>
      </c>
      <c r="O117" s="2" t="inlineStr">
        <is>
          <t xml:space="preserve"/>
        </is>
      </c>
      <c r="P117" s="2" t="inlineStr">
        <is>
          <t xml:space="preserve">frontend/src/components/Sod/SodPeriods.tsx</t>
        </is>
      </c>
      <c r="Q117" s="2" t="inlineStr">
        <is>
          <t xml:space="preserve">Implemented</t>
        </is>
      </c>
      <c r="R117" s="2" t="inlineStr">
        <is>
          <t xml:space="preserve">Unclassified</t>
        </is>
      </c>
      <c r="S117" s="2" t="inlineStr">
        <is>
          <t xml:space="preserve">Not started</t>
        </is>
      </c>
    </row>
    <row r="118">
      <c r="A118" s="2" t="inlineStr">
        <is>
          <t xml:space="preserve">SODP-008</t>
        </is>
      </c>
      <c r="B118" s="2" t="inlineStr">
        <is>
          <t xml:space="preserve">Review Periods</t>
        </is>
      </c>
      <c r="C118" s="2" t="inlineStr">
        <is>
          <t xml:space="preserve">Review Periods › Toolbar: Compare periods and archived toggle</t>
        </is>
      </c>
      <c r="D118" s="2" t="inlineStr">
        <is>
          <t xml:space="preserve">Compare periods stays disabled with fewer than two eligible periods and explains why through a tooltip and an accessible description (no inline text); Show archived periods is a visible toggle button with an archive icon that only changes visibility.</t>
        </is>
      </c>
      <c r="E118" s="2" t="inlineStr">
        <is>
          <t xml:space="preserve">Not set</t>
        </is>
      </c>
      <c r="F118" s="2" t="inlineStr">
        <is>
          <t xml:space="preserve">Not tested</t>
        </is>
      </c>
      <c r="G118" s="2" t="inlineStr">
        <is>
          <t xml:space="preserve">Pending</t>
        </is>
      </c>
      <c r="H118" s="2" t="inlineStr">
        <is>
          <t xml:space="preserve">frontend/tests/sod-periods-dialogs.spec.ts</t>
        </is>
      </c>
      <c r="I118" s="2" t="inlineStr">
        <is>
          <t xml:space="preserve"/>
        </is>
      </c>
      <c r="J118" s="2" t="inlineStr">
        <is>
          <t xml:space="preserve"/>
        </is>
      </c>
      <c r="K118" s="2" t="inlineStr">
        <is>
          <t xml:space="preserve"/>
        </is>
      </c>
      <c r="L118" s="2" t="inlineStr">
        <is>
          <t xml:space="preserve"/>
        </is>
      </c>
      <c r="M118" s="2" t="inlineStr">
        <is>
          <t xml:space="preserve"/>
        </is>
      </c>
      <c r="N118" s="2" t="inlineStr">
        <is>
          <t xml:space="preserve"/>
        </is>
      </c>
      <c r="O118" s="2" t="inlineStr">
        <is>
          <t xml:space="preserve"/>
        </is>
      </c>
      <c r="P118" s="2" t="inlineStr">
        <is>
          <t xml:space="preserve">frontend/src/components/Sod/SodPeriods.tsx</t>
        </is>
      </c>
      <c r="Q118" s="2" t="inlineStr">
        <is>
          <t xml:space="preserve">Implemented</t>
        </is>
      </c>
      <c r="R118" s="2" t="inlineStr">
        <is>
          <t xml:space="preserve">Unclassified</t>
        </is>
      </c>
      <c r="S118" s="2" t="inlineStr">
        <is>
          <t xml:space="preserve">Not started</t>
        </is>
      </c>
    </row>
    <row r="119">
      <c r="A119" s="2" t="inlineStr">
        <is>
          <t xml:space="preserve">SODP-009</t>
        </is>
      </c>
      <c r="B119" s="2" t="inlineStr">
        <is>
          <t xml:space="preserve">Review Periods</t>
        </is>
      </c>
      <c r="C119" s="2" t="inlineStr">
        <is>
          <t xml:space="preserve">Review Periods › Active period badge spacing</t>
        </is>
      </c>
      <c r="D119" s="2" t="inlineStr">
        <is>
          <t xml:space="preserve">The Active period badge sits about 8 px after the period name and wraps cleanly on small screens.</t>
        </is>
      </c>
      <c r="E119" s="2" t="inlineStr">
        <is>
          <t xml:space="preserve">Not set</t>
        </is>
      </c>
      <c r="F119" s="2" t="inlineStr">
        <is>
          <t xml:space="preserve">Not tested</t>
        </is>
      </c>
      <c r="G119" s="2" t="inlineStr">
        <is>
          <t xml:space="preserve">Pending</t>
        </is>
      </c>
      <c r="H119" s="2" t="inlineStr">
        <is>
          <t xml:space="preserve">frontend/tests/sod-reviews-r6.spec.ts (375, 800 and 1280 px)</t>
        </is>
      </c>
      <c r="I119" s="2" t="inlineStr">
        <is>
          <t xml:space="preserve"/>
        </is>
      </c>
      <c r="J119" s="2" t="inlineStr">
        <is>
          <t xml:space="preserve"/>
        </is>
      </c>
      <c r="K119" s="2" t="inlineStr">
        <is>
          <t xml:space="preserve"/>
        </is>
      </c>
      <c r="L119" s="2" t="inlineStr">
        <is>
          <t xml:space="preserve"/>
        </is>
      </c>
      <c r="M119" s="2" t="inlineStr">
        <is>
          <t xml:space="preserve"/>
        </is>
      </c>
      <c r="N119" s="2" t="inlineStr">
        <is>
          <t xml:space="preserve">Check with real period names, long and short.</t>
        </is>
      </c>
      <c r="O119" s="2" t="inlineStr">
        <is>
          <t xml:space="preserve">None known.</t>
        </is>
      </c>
      <c r="P119" s="2" t="inlineStr">
        <is>
          <t xml:space="preserve">frontend/src/components/Sod/SodPeriods.tsx; frontend/src/styles/components.css</t>
        </is>
      </c>
      <c r="Q119" s="2" t="inlineStr">
        <is>
          <t xml:space="preserve">Implemented</t>
        </is>
      </c>
      <c r="R119" s="2" t="inlineStr">
        <is>
          <t xml:space="preserve">Unclassified</t>
        </is>
      </c>
      <c r="S119" s="2" t="inlineStr">
        <is>
          <t xml:space="preserve">Not started</t>
        </is>
      </c>
    </row>
    <row r="120">
      <c r="A120" s="2" t="inlineStr">
        <is>
          <t xml:space="preserve">SODT-001</t>
        </is>
      </c>
      <c r="B120" s="2" t="inlineStr">
        <is>
          <t xml:space="preserve">SoD Reports</t>
        </is>
      </c>
      <c r="C120" s="2" t="inlineStr">
        <is>
          <t xml:space="preserve">Reports › Preview</t>
        </is>
      </c>
      <c r="D120" s="2" t="inlineStr">
        <is>
          <t xml:space="preserve">Preview renders the frozen report model with counts that match the pages.</t>
        </is>
      </c>
      <c r="E120" s="2" t="inlineStr">
        <is>
          <t xml:space="preserve">Not set</t>
        </is>
      </c>
      <c r="F120" s="2" t="inlineStr">
        <is>
          <t xml:space="preserve">Not tested</t>
        </is>
      </c>
      <c r="G120" s="2" t="inlineStr">
        <is>
          <t xml:space="preserve">Pending</t>
        </is>
      </c>
      <c r="H120" s="2" t="inlineStr">
        <is>
          <t xml:space="preserve"/>
        </is>
      </c>
      <c r="I120" s="2" t="inlineStr">
        <is>
          <t xml:space="preserve"/>
        </is>
      </c>
      <c r="J120" s="2" t="inlineStr">
        <is>
          <t xml:space="preserve"/>
        </is>
      </c>
      <c r="K120" s="2" t="inlineStr">
        <is>
          <t xml:space="preserve"/>
        </is>
      </c>
      <c r="L120" s="2" t="inlineStr">
        <is>
          <t xml:space="preserve"/>
        </is>
      </c>
      <c r="M120" s="2" t="inlineStr">
        <is>
          <t xml:space="preserve"/>
        </is>
      </c>
      <c r="N120" s="2" t="inlineStr">
        <is>
          <t xml:space="preserve"/>
        </is>
      </c>
      <c r="O120" s="2" t="inlineStr">
        <is>
          <t xml:space="preserve"/>
        </is>
      </c>
      <c r="P120" s="2" t="inlineStr">
        <is>
          <t xml:space="preserve">docs/features/SOD.md; frontend/tests/sod-reports.spec.ts</t>
        </is>
      </c>
      <c r="Q120" s="2" t="inlineStr">
        <is>
          <t xml:space="preserve">Not assessed</t>
        </is>
      </c>
      <c r="R120" s="2" t="inlineStr">
        <is>
          <t xml:space="preserve">Unclassified</t>
        </is>
      </c>
      <c r="S120" s="2" t="inlineStr">
        <is>
          <t xml:space="preserve">Not started</t>
        </is>
      </c>
    </row>
    <row r="121">
      <c r="A121" s="2" t="inlineStr">
        <is>
          <t xml:space="preserve">SODT-002</t>
        </is>
      </c>
      <c r="B121" s="2" t="inlineStr">
        <is>
          <t xml:space="preserve">SoD Reports</t>
        </is>
      </c>
      <c r="C121" s="2" t="inlineStr">
        <is>
          <t xml:space="preserve">Reports › DOCX export</t>
        </is>
      </c>
      <c r="D121" s="2" t="inlineStr">
        <is>
          <t xml:space="preserve">DOCX export opens in Word with the previewed content.</t>
        </is>
      </c>
      <c r="E121" s="2" t="inlineStr">
        <is>
          <t xml:space="preserve">Not set</t>
        </is>
      </c>
      <c r="F121" s="2" t="inlineStr">
        <is>
          <t xml:space="preserve">Not tested</t>
        </is>
      </c>
      <c r="G121" s="2" t="inlineStr">
        <is>
          <t xml:space="preserve">Pending</t>
        </is>
      </c>
      <c r="H121" s="2" t="inlineStr">
        <is>
          <t xml:space="preserve"/>
        </is>
      </c>
      <c r="I121" s="2" t="inlineStr">
        <is>
          <t xml:space="preserve"/>
        </is>
      </c>
      <c r="J121" s="2" t="inlineStr">
        <is>
          <t xml:space="preserve"/>
        </is>
      </c>
      <c r="K121" s="2" t="inlineStr">
        <is>
          <t xml:space="preserve"/>
        </is>
      </c>
      <c r="L121" s="2" t="inlineStr">
        <is>
          <t xml:space="preserve"/>
        </is>
      </c>
      <c r="M121" s="2" t="inlineStr">
        <is>
          <t xml:space="preserve"/>
        </is>
      </c>
      <c r="N121" s="2" t="inlineStr">
        <is>
          <t xml:space="preserve"/>
        </is>
      </c>
      <c r="O121" s="2" t="inlineStr">
        <is>
          <t xml:space="preserve"/>
        </is>
      </c>
      <c r="P121" s="2" t="inlineStr">
        <is>
          <t xml:space="preserve">docs/features/SOD.md; frontend/tests/sod-reports.spec.ts</t>
        </is>
      </c>
      <c r="Q121" s="2" t="inlineStr">
        <is>
          <t xml:space="preserve">Not assessed</t>
        </is>
      </c>
      <c r="R121" s="2" t="inlineStr">
        <is>
          <t xml:space="preserve">Unclassified</t>
        </is>
      </c>
      <c r="S121" s="2" t="inlineStr">
        <is>
          <t xml:space="preserve">Not started</t>
        </is>
      </c>
    </row>
    <row r="122">
      <c r="A122" s="2" t="inlineStr">
        <is>
          <t xml:space="preserve">SODT-003</t>
        </is>
      </c>
      <c r="B122" s="2" t="inlineStr">
        <is>
          <t xml:space="preserve">SoD Reports</t>
        </is>
      </c>
      <c r="C122" s="2" t="inlineStr">
        <is>
          <t xml:space="preserve">Reports › PDF export</t>
        </is>
      </c>
      <c r="D122" s="2" t="inlineStr">
        <is>
          <t xml:space="preserve">PDF export contains the previewed content with readable tables.</t>
        </is>
      </c>
      <c r="E122" s="2" t="inlineStr">
        <is>
          <t xml:space="preserve">Not set</t>
        </is>
      </c>
      <c r="F122" s="2" t="inlineStr">
        <is>
          <t xml:space="preserve">Not tested</t>
        </is>
      </c>
      <c r="G122" s="2" t="inlineStr">
        <is>
          <t xml:space="preserve">Pending</t>
        </is>
      </c>
      <c r="H122" s="2" t="inlineStr">
        <is>
          <t xml:space="preserve"/>
        </is>
      </c>
      <c r="I122" s="2" t="inlineStr">
        <is>
          <t xml:space="preserve"/>
        </is>
      </c>
      <c r="J122" s="2" t="inlineStr">
        <is>
          <t xml:space="preserve"/>
        </is>
      </c>
      <c r="K122" s="2" t="inlineStr">
        <is>
          <t xml:space="preserve"/>
        </is>
      </c>
      <c r="L122" s="2" t="inlineStr">
        <is>
          <t xml:space="preserve"/>
        </is>
      </c>
      <c r="M122" s="2" t="inlineStr">
        <is>
          <t xml:space="preserve"/>
        </is>
      </c>
      <c r="N122" s="2" t="inlineStr">
        <is>
          <t xml:space="preserve"/>
        </is>
      </c>
      <c r="O122" s="2" t="inlineStr">
        <is>
          <t xml:space="preserve"/>
        </is>
      </c>
      <c r="P122" s="2" t="inlineStr">
        <is>
          <t xml:space="preserve">docs/features/SOD.md; frontend/tests/sod-reports.spec.ts</t>
        </is>
      </c>
      <c r="Q122" s="2" t="inlineStr">
        <is>
          <t xml:space="preserve">Not assessed</t>
        </is>
      </c>
      <c r="R122" s="2" t="inlineStr">
        <is>
          <t xml:space="preserve">Unclassified</t>
        </is>
      </c>
      <c r="S122" s="2" t="inlineStr">
        <is>
          <t xml:space="preserve">Not started</t>
        </is>
      </c>
    </row>
    <row r="123">
      <c r="A123" s="2" t="inlineStr">
        <is>
          <t xml:space="preserve">SODT-004</t>
        </is>
      </c>
      <c r="B123" s="2" t="inlineStr">
        <is>
          <t xml:space="preserve">SoD Reports</t>
        </is>
      </c>
      <c r="C123" s="2" t="inlineStr">
        <is>
          <t xml:space="preserve">Reports › Remediation report</t>
        </is>
      </c>
      <c r="D123" s="2" t="inlineStr">
        <is>
          <t xml:space="preserve">The remediation report lists actions with verification text.</t>
        </is>
      </c>
      <c r="E123" s="2" t="inlineStr">
        <is>
          <t xml:space="preserve">Not set</t>
        </is>
      </c>
      <c r="F123" s="2" t="inlineStr">
        <is>
          <t xml:space="preserve">Not tested</t>
        </is>
      </c>
      <c r="G123" s="2" t="inlineStr">
        <is>
          <t xml:space="preserve">Pending</t>
        </is>
      </c>
      <c r="H123" s="2" t="inlineStr">
        <is>
          <t xml:space="preserve"/>
        </is>
      </c>
      <c r="I123" s="2" t="inlineStr">
        <is>
          <t xml:space="preserve"/>
        </is>
      </c>
      <c r="J123" s="2" t="inlineStr">
        <is>
          <t xml:space="preserve"/>
        </is>
      </c>
      <c r="K123" s="2" t="inlineStr">
        <is>
          <t xml:space="preserve"/>
        </is>
      </c>
      <c r="L123" s="2" t="inlineStr">
        <is>
          <t xml:space="preserve"/>
        </is>
      </c>
      <c r="M123" s="2" t="inlineStr">
        <is>
          <t xml:space="preserve"/>
        </is>
      </c>
      <c r="N123" s="2" t="inlineStr">
        <is>
          <t xml:space="preserve"/>
        </is>
      </c>
      <c r="O123" s="2" t="inlineStr">
        <is>
          <t xml:space="preserve"/>
        </is>
      </c>
      <c r="P123" s="2" t="inlineStr">
        <is>
          <t xml:space="preserve">docs/features/SOD.md; frontend/tests/sod-reports.spec.ts</t>
        </is>
      </c>
      <c r="Q123" s="2" t="inlineStr">
        <is>
          <t xml:space="preserve">Not assessed</t>
        </is>
      </c>
      <c r="R123" s="2" t="inlineStr">
        <is>
          <t xml:space="preserve">Unclassified</t>
        </is>
      </c>
      <c r="S123" s="2" t="inlineStr">
        <is>
          <t xml:space="preserve">Not started</t>
        </is>
      </c>
    </row>
    <row r="124">
      <c r="A124" s="2" t="inlineStr">
        <is>
          <t xml:space="preserve">SET-001</t>
        </is>
      </c>
      <c r="B124" s="2" t="inlineStr">
        <is>
          <t xml:space="preserve">Settings and Data Sources</t>
        </is>
      </c>
      <c r="C124" s="2" t="inlineStr">
        <is>
          <t xml:space="preserve">Settings › Organization &amp; SAP System</t>
        </is>
      </c>
      <c r="D124" s="2" t="inlineStr">
        <is>
          <t xml:space="preserve">Organization and system labels save and appear in the header and footer.</t>
        </is>
      </c>
      <c r="E124" s="2" t="inlineStr">
        <is>
          <t xml:space="preserve">Not set</t>
        </is>
      </c>
      <c r="F124" s="2" t="inlineStr">
        <is>
          <t xml:space="preserve">Not tested</t>
        </is>
      </c>
      <c r="G124" s="2" t="inlineStr">
        <is>
          <t xml:space="preserve">Pending</t>
        </is>
      </c>
      <c r="H124" s="2" t="inlineStr">
        <is>
          <t xml:space="preserve"/>
        </is>
      </c>
      <c r="I124" s="2" t="inlineStr">
        <is>
          <t xml:space="preserve"/>
        </is>
      </c>
      <c r="J124" s="2" t="inlineStr">
        <is>
          <t xml:space="preserve"/>
        </is>
      </c>
      <c r="K124" s="2" t="inlineStr">
        <is>
          <t xml:space="preserve"/>
        </is>
      </c>
      <c r="L124" s="2" t="inlineStr">
        <is>
          <t xml:space="preserve"/>
        </is>
      </c>
      <c r="M124" s="2" t="inlineStr">
        <is>
          <t xml:space="preserve"/>
        </is>
      </c>
      <c r="N124" s="2" t="inlineStr">
        <is>
          <t xml:space="preserve"/>
        </is>
      </c>
      <c r="O124" s="2" t="inlineStr">
        <is>
          <t xml:space="preserve"/>
        </is>
      </c>
      <c r="P124" s="2" t="inlineStr">
        <is>
          <t xml:space="preserve">docs/architecture/APPEARANCE.md; frontend/tests/settings-refinement.spec.ts</t>
        </is>
      </c>
      <c r="Q124" s="2" t="inlineStr">
        <is>
          <t xml:space="preserve">Not assessed</t>
        </is>
      </c>
      <c r="R124" s="2" t="inlineStr">
        <is>
          <t xml:space="preserve">Unclassified</t>
        </is>
      </c>
      <c r="S124" s="2" t="inlineStr">
        <is>
          <t xml:space="preserve">Not started</t>
        </is>
      </c>
    </row>
    <row r="125">
      <c r="A125" s="2" t="inlineStr">
        <is>
          <t xml:space="preserve">SET-002</t>
        </is>
      </c>
      <c r="B125" s="2" t="inlineStr">
        <is>
          <t xml:space="preserve">Settings and Data Sources</t>
        </is>
      </c>
      <c r="C125" s="2" t="inlineStr">
        <is>
          <t xml:space="preserve">Settings › Appearance &amp; Branding</t>
        </is>
      </c>
      <c r="D125" s="2" t="inlineStr">
        <is>
          <t xml:space="preserve">Theme presets and branding apply without a reload and can be cancelled.</t>
        </is>
      </c>
      <c r="E125" s="2" t="inlineStr">
        <is>
          <t xml:space="preserve">Not set</t>
        </is>
      </c>
      <c r="F125" s="2" t="inlineStr">
        <is>
          <t xml:space="preserve">Not tested</t>
        </is>
      </c>
      <c r="G125" s="2" t="inlineStr">
        <is>
          <t xml:space="preserve">Pending</t>
        </is>
      </c>
      <c r="H125" s="2" t="inlineStr">
        <is>
          <t xml:space="preserve"/>
        </is>
      </c>
      <c r="I125" s="2" t="inlineStr">
        <is>
          <t xml:space="preserve"/>
        </is>
      </c>
      <c r="J125" s="2" t="inlineStr">
        <is>
          <t xml:space="preserve"/>
        </is>
      </c>
      <c r="K125" s="2" t="inlineStr">
        <is>
          <t xml:space="preserve"/>
        </is>
      </c>
      <c r="L125" s="2" t="inlineStr">
        <is>
          <t xml:space="preserve"/>
        </is>
      </c>
      <c r="M125" s="2" t="inlineStr">
        <is>
          <t xml:space="preserve"/>
        </is>
      </c>
      <c r="N125" s="2" t="inlineStr">
        <is>
          <t xml:space="preserve"/>
        </is>
      </c>
      <c r="O125" s="2" t="inlineStr">
        <is>
          <t xml:space="preserve"/>
        </is>
      </c>
      <c r="P125" s="2" t="inlineStr">
        <is>
          <t xml:space="preserve">docs/architecture/APPEARANCE.md; frontend/tests/settings-runtime-theme.spec.ts</t>
        </is>
      </c>
      <c r="Q125" s="2" t="inlineStr">
        <is>
          <t xml:space="preserve">Not assessed</t>
        </is>
      </c>
      <c r="R125" s="2" t="inlineStr">
        <is>
          <t xml:space="preserve">Unclassified</t>
        </is>
      </c>
      <c r="S125" s="2" t="inlineStr">
        <is>
          <t xml:space="preserve">Not started</t>
        </is>
      </c>
    </row>
    <row r="126">
      <c r="A126" s="2" t="inlineStr">
        <is>
          <t xml:space="preserve">SET-003</t>
        </is>
      </c>
      <c r="B126" s="2" t="inlineStr">
        <is>
          <t xml:space="preserve">Settings and Data Sources</t>
        </is>
      </c>
      <c r="C126" s="2" t="inlineStr">
        <is>
          <t xml:space="preserve">Settings › Data Sources</t>
        </is>
      </c>
      <c r="D126" s="2" t="inlineStr">
        <is>
          <t xml:space="preserve">Each source selects a CSV, shows mode and status and imports with validation feedback.</t>
        </is>
      </c>
      <c r="E126" s="2" t="inlineStr">
        <is>
          <t xml:space="preserve">Not set</t>
        </is>
      </c>
      <c r="F126" s="2" t="inlineStr">
        <is>
          <t xml:space="preserve">Not tested</t>
        </is>
      </c>
      <c r="G126" s="2" t="inlineStr">
        <is>
          <t xml:space="preserve">Pending</t>
        </is>
      </c>
      <c r="H126" s="2" t="inlineStr">
        <is>
          <t xml:space="preserve"/>
        </is>
      </c>
      <c r="I126" s="2" t="inlineStr">
        <is>
          <t xml:space="preserve"/>
        </is>
      </c>
      <c r="J126" s="2" t="inlineStr">
        <is>
          <t xml:space="preserve"/>
        </is>
      </c>
      <c r="K126" s="2" t="inlineStr">
        <is>
          <t xml:space="preserve"/>
        </is>
      </c>
      <c r="L126" s="2" t="inlineStr">
        <is>
          <t xml:space="preserve"/>
        </is>
      </c>
      <c r="M126" s="2" t="inlineStr">
        <is>
          <t xml:space="preserve"/>
        </is>
      </c>
      <c r="N126" s="2" t="inlineStr">
        <is>
          <t xml:space="preserve"/>
        </is>
      </c>
      <c r="O126" s="2" t="inlineStr">
        <is>
          <t xml:space="preserve"/>
        </is>
      </c>
      <c r="P126" s="2" t="inlineStr">
        <is>
          <t xml:space="preserve">docs/data/IMPORT_AND_REFRESH.md; frontend/tests/csv-lifecycle.spec.ts</t>
        </is>
      </c>
      <c r="Q126" s="2" t="inlineStr">
        <is>
          <t xml:space="preserve">Not assessed</t>
        </is>
      </c>
      <c r="R126" s="2" t="inlineStr">
        <is>
          <t xml:space="preserve">Unclassified</t>
        </is>
      </c>
      <c r="S126" s="2" t="inlineStr">
        <is>
          <t xml:space="preserve">Not started</t>
        </is>
      </c>
    </row>
    <row r="127">
      <c r="A127" s="2" t="inlineStr">
        <is>
          <t xml:space="preserve">SET-006</t>
        </is>
      </c>
      <c r="B127" s="2" t="inlineStr">
        <is>
          <t xml:space="preserve">Settings and Data Sources</t>
        </is>
      </c>
      <c r="C127" s="2" t="inlineStr">
        <is>
          <t xml:space="preserve">Settings › Features</t>
        </is>
      </c>
      <c r="D127" s="2" t="inlineStr">
        <is>
          <t xml:space="preserve">Feature toggles (User-Role Mapping, SoD, Employee Directory) take effect everywhere and explain dependencies.</t>
        </is>
      </c>
      <c r="E127" s="2" t="inlineStr">
        <is>
          <t xml:space="preserve">Not set</t>
        </is>
      </c>
      <c r="F127" s="2" t="inlineStr">
        <is>
          <t xml:space="preserve">Not tested</t>
        </is>
      </c>
      <c r="G127" s="2" t="inlineStr">
        <is>
          <t xml:space="preserve">Pending</t>
        </is>
      </c>
      <c r="H127" s="2" t="inlineStr">
        <is>
          <t xml:space="preserve"/>
        </is>
      </c>
      <c r="I127" s="2" t="inlineStr">
        <is>
          <t xml:space="preserve"/>
        </is>
      </c>
      <c r="J127" s="2" t="inlineStr">
        <is>
          <t xml:space="preserve"/>
        </is>
      </c>
      <c r="K127" s="2" t="inlineStr">
        <is>
          <t xml:space="preserve"/>
        </is>
      </c>
      <c r="L127" s="2" t="inlineStr">
        <is>
          <t xml:space="preserve"/>
        </is>
      </c>
      <c r="M127" s="2" t="inlineStr">
        <is>
          <t xml:space="preserve"/>
        </is>
      </c>
      <c r="N127" s="2" t="inlineStr">
        <is>
          <t xml:space="preserve"/>
        </is>
      </c>
      <c r="O127" s="2" t="inlineStr">
        <is>
          <t xml:space="preserve"/>
        </is>
      </c>
      <c r="P127" s="2" t="inlineStr">
        <is>
          <t xml:space="preserve">docs/features/SOD.md; frontend/tests/sod-feature.spec.ts</t>
        </is>
      </c>
      <c r="Q127" s="2" t="inlineStr">
        <is>
          <t xml:space="preserve">Not assessed</t>
        </is>
      </c>
      <c r="R127" s="2" t="inlineStr">
        <is>
          <t xml:space="preserve">Unclassified</t>
        </is>
      </c>
      <c r="S127" s="2" t="inlineStr">
        <is>
          <t xml:space="preserve">Not started</t>
        </is>
      </c>
    </row>
    <row r="128">
      <c r="A128" s="2" t="inlineStr">
        <is>
          <t xml:space="preserve">SET-007</t>
        </is>
      </c>
      <c r="B128" s="2" t="inlineStr">
        <is>
          <t xml:space="preserve">Settings and Data Sources</t>
        </is>
      </c>
      <c r="C128" s="2" t="inlineStr">
        <is>
          <t xml:space="preserve">Settings › Runtime &amp; Scheduling</t>
        </is>
      </c>
      <c r="D128" s="2" t="inlineStr">
        <is>
          <t xml:space="preserve">Scheduled refresh settings validate and show the last run.</t>
        </is>
      </c>
      <c r="E128" s="2" t="inlineStr">
        <is>
          <t xml:space="preserve">Not set</t>
        </is>
      </c>
      <c r="F128" s="2" t="inlineStr">
        <is>
          <t xml:space="preserve">Not tested</t>
        </is>
      </c>
      <c r="G128" s="2" t="inlineStr">
        <is>
          <t xml:space="preserve">Pending</t>
        </is>
      </c>
      <c r="H128" s="2" t="inlineStr">
        <is>
          <t xml:space="preserve"/>
        </is>
      </c>
      <c r="I128" s="2" t="inlineStr">
        <is>
          <t xml:space="preserve"/>
        </is>
      </c>
      <c r="J128" s="2" t="inlineStr">
        <is>
          <t xml:space="preserve"/>
        </is>
      </c>
      <c r="K128" s="2" t="inlineStr">
        <is>
          <t xml:space="preserve"/>
        </is>
      </c>
      <c r="L128" s="2" t="inlineStr">
        <is>
          <t xml:space="preserve"/>
        </is>
      </c>
      <c r="M128" s="2" t="inlineStr">
        <is>
          <t xml:space="preserve"/>
        </is>
      </c>
      <c r="N128" s="2" t="inlineStr">
        <is>
          <t xml:space="preserve"/>
        </is>
      </c>
      <c r="O128" s="2" t="inlineStr">
        <is>
          <t xml:space="preserve"/>
        </is>
      </c>
      <c r="P128" s="2" t="inlineStr">
        <is>
          <t xml:space="preserve">docs/data/IMPORT_AND_REFRESH.md; frontend/tests/scheduled-refresh.spec.ts</t>
        </is>
      </c>
      <c r="Q128" s="2" t="inlineStr">
        <is>
          <t xml:space="preserve">Not assessed</t>
        </is>
      </c>
      <c r="R128" s="2" t="inlineStr">
        <is>
          <t xml:space="preserve">Unclassified</t>
        </is>
      </c>
      <c r="S128" s="2" t="inlineStr">
        <is>
          <t xml:space="preserve">Not started</t>
        </is>
      </c>
    </row>
    <row r="129">
      <c r="A129" s="2" t="inlineStr">
        <is>
          <t xml:space="preserve">SET-008</t>
        </is>
      </c>
      <c r="B129" s="2" t="inlineStr">
        <is>
          <t xml:space="preserve">Settings and Data Sources</t>
        </is>
      </c>
      <c r="C129" s="2" t="inlineStr">
        <is>
          <t xml:space="preserve">Settings › Health &amp; Diagnostics</t>
        </is>
      </c>
      <c r="D129" s="2" t="inlineStr">
        <is>
          <t xml:space="preserve">Application status and Data Source Health cards (3/2/1 columns) report real states with Technical details.</t>
        </is>
      </c>
      <c r="E129" s="2" t="inlineStr">
        <is>
          <t xml:space="preserve">Not set</t>
        </is>
      </c>
      <c r="F129" s="2" t="inlineStr">
        <is>
          <t xml:space="preserve">Not tested</t>
        </is>
      </c>
      <c r="G129" s="2" t="inlineStr">
        <is>
          <t xml:space="preserve">Pending</t>
        </is>
      </c>
      <c r="H129" s="2" t="inlineStr">
        <is>
          <t xml:space="preserve"/>
        </is>
      </c>
      <c r="I129" s="2" t="inlineStr">
        <is>
          <t xml:space="preserve"/>
        </is>
      </c>
      <c r="J129" s="2" t="inlineStr">
        <is>
          <t xml:space="preserve"/>
        </is>
      </c>
      <c r="K129" s="2" t="inlineStr">
        <is>
          <t xml:space="preserve"/>
        </is>
      </c>
      <c r="L129" s="2" t="inlineStr">
        <is>
          <t xml:space="preserve"/>
        </is>
      </c>
      <c r="M129" s="2" t="inlineStr">
        <is>
          <t xml:space="preserve"/>
        </is>
      </c>
      <c r="N129" s="2" t="inlineStr">
        <is>
          <t xml:space="preserve"/>
        </is>
      </c>
      <c r="O129" s="2" t="inlineStr">
        <is>
          <t xml:space="preserve"/>
        </is>
      </c>
      <c r="P129" s="2" t="inlineStr">
        <is>
          <t xml:space="preserve">docs/data/DATA_HEALTH.md; frontend/tests/settings-r2.spec.ts</t>
        </is>
      </c>
      <c r="Q129" s="2" t="inlineStr">
        <is>
          <t xml:space="preserve">Not assessed</t>
        </is>
      </c>
      <c r="R129" s="2" t="inlineStr">
        <is>
          <t xml:space="preserve">Unclassified</t>
        </is>
      </c>
      <c r="S129" s="2" t="inlineStr">
        <is>
          <t xml:space="preserve">Not started</t>
        </is>
      </c>
    </row>
    <row r="130">
      <c r="A130" s="2" t="inlineStr">
        <is>
          <t xml:space="preserve">SET-009</t>
        </is>
      </c>
      <c r="B130" s="2" t="inlineStr">
        <is>
          <t xml:space="preserve">Settings and Data Sources</t>
        </is>
      </c>
      <c r="C130" s="2" t="inlineStr">
        <is>
          <t xml:space="preserve">Settings › Apply and cancel</t>
        </is>
      </c>
      <c r="D130" s="2" t="inlineStr">
        <is>
          <t xml:space="preserve">Apply settings saves once, Cancel discards, and unsaved changes are indicated.</t>
        </is>
      </c>
      <c r="E130" s="2" t="inlineStr">
        <is>
          <t xml:space="preserve">Not set</t>
        </is>
      </c>
      <c r="F130" s="2" t="inlineStr">
        <is>
          <t xml:space="preserve">Not tested</t>
        </is>
      </c>
      <c r="G130" s="2" t="inlineStr">
        <is>
          <t xml:space="preserve">Pending</t>
        </is>
      </c>
      <c r="H130" s="2" t="inlineStr">
        <is>
          <t xml:space="preserve"/>
        </is>
      </c>
      <c r="I130" s="2" t="inlineStr">
        <is>
          <t xml:space="preserve"/>
        </is>
      </c>
      <c r="J130" s="2" t="inlineStr">
        <is>
          <t xml:space="preserve"/>
        </is>
      </c>
      <c r="K130" s="2" t="inlineStr">
        <is>
          <t xml:space="preserve"/>
        </is>
      </c>
      <c r="L130" s="2" t="inlineStr">
        <is>
          <t xml:space="preserve"/>
        </is>
      </c>
      <c r="M130" s="2" t="inlineStr">
        <is>
          <t xml:space="preserve"/>
        </is>
      </c>
      <c r="N130" s="2" t="inlineStr">
        <is>
          <t xml:space="preserve"/>
        </is>
      </c>
      <c r="O130" s="2" t="inlineStr">
        <is>
          <t xml:space="preserve"/>
        </is>
      </c>
      <c r="P130" s="2" t="inlineStr">
        <is>
          <t xml:space="preserve">frontend/tests/settings-refinement.spec.ts</t>
        </is>
      </c>
      <c r="Q130" s="2" t="inlineStr">
        <is>
          <t xml:space="preserve">Not assessed</t>
        </is>
      </c>
      <c r="R130" s="2" t="inlineStr">
        <is>
          <t xml:space="preserve">Unclassified</t>
        </is>
      </c>
      <c r="S130" s="2" t="inlineStr">
        <is>
          <t xml:space="preserve">Not started</t>
        </is>
      </c>
    </row>
    <row r="131">
      <c r="A131" s="2" t="inlineStr">
        <is>
          <t xml:space="preserve">SET-011</t>
        </is>
      </c>
      <c r="B131" s="2" t="inlineStr">
        <is>
          <t xml:space="preserve">Settings and Data Sources</t>
        </is>
      </c>
      <c r="C131" s="2" t="inlineStr">
        <is>
          <t xml:space="preserve">Data Sources and SAP Modules › Visual consistency</t>
        </is>
      </c>
      <c r="D131" s="2" t="inlineStr">
        <is>
          <t xml:space="preserve">Data source and SAP Area configuration use consistent button sizes and icons, label capitalization, spacing, status colors and control styling in both themes and at narrow widths.</t>
        </is>
      </c>
      <c r="E131" s="2" t="inlineStr">
        <is>
          <t xml:space="preserve">Not set</t>
        </is>
      </c>
      <c r="F131" s="2" t="inlineStr">
        <is>
          <t xml:space="preserve">Not tested</t>
        </is>
      </c>
      <c r="G131" s="2" t="inlineStr">
        <is>
          <t xml:space="preserve">Pending</t>
        </is>
      </c>
      <c r="H131" s="2" t="inlineStr">
        <is>
          <t xml:space="preserve">frontend/tests/data-source-browse.spec.ts; frontend/tests/shared-ui-r5.spec.ts; frontend/tests/settings-r2.spec.ts</t>
        </is>
      </c>
      <c r="I131" s="2" t="inlineStr">
        <is>
          <t xml:space="preserve"/>
        </is>
      </c>
      <c r="J131" s="2" t="inlineStr">
        <is>
          <t xml:space="preserve"/>
        </is>
      </c>
      <c r="K131" s="2" t="inlineStr">
        <is>
          <t xml:space="preserve"/>
        </is>
      </c>
      <c r="L131" s="2" t="inlineStr">
        <is>
          <t xml:space="preserve"/>
        </is>
      </c>
      <c r="M131" s="2" t="inlineStr">
        <is>
          <t xml:space="preserve"/>
        </is>
      </c>
      <c r="N131" s="2" t="inlineStr">
        <is>
          <t xml:space="preserve"/>
        </is>
      </c>
      <c r="O131" s="2" t="inlineStr">
        <is>
          <t xml:space="preserve"/>
        </is>
      </c>
      <c r="P131" s="2" t="inlineStr">
        <is>
          <t xml:space="preserve">frontend/src/components/Settings/SourceManager.tsx; frontend/src/components/Settings/ModuleEditor.tsx</t>
        </is>
      </c>
      <c r="Q131" s="2" t="inlineStr">
        <is>
          <t xml:space="preserve">Implemented</t>
        </is>
      </c>
      <c r="R131" s="2" t="inlineStr">
        <is>
          <t xml:space="preserve">Unclassified</t>
        </is>
      </c>
      <c r="S131" s="2" t="inlineStr">
        <is>
          <t xml:space="preserve">Not started</t>
        </is>
      </c>
    </row>
    <row r="132">
      <c r="A132" s="2" t="inlineStr">
        <is>
          <t xml:space="preserve">DATA-001</t>
        </is>
      </c>
      <c r="B132" s="2" t="inlineStr">
        <is>
          <t xml:space="preserve">Settings and Data Sources</t>
        </is>
      </c>
      <c r="C132" s="2" t="inlineStr">
        <is>
          <t xml:space="preserve">Data Sources › Role catalogue import</t>
        </is>
      </c>
      <c r="D132" s="2" t="inlineStr">
        <is>
          <t xml:space="preserve">Role CSV validates required columns, reports rows rejected and activates only valid data.</t>
        </is>
      </c>
      <c r="E132" s="2" t="inlineStr">
        <is>
          <t xml:space="preserve">Not set</t>
        </is>
      </c>
      <c r="F132" s="2" t="inlineStr">
        <is>
          <t xml:space="preserve">Not tested</t>
        </is>
      </c>
      <c r="G132" s="2" t="inlineStr">
        <is>
          <t xml:space="preserve">Pending</t>
        </is>
      </c>
      <c r="H132" s="2" t="inlineStr">
        <is>
          <t xml:space="preserve"/>
        </is>
      </c>
      <c r="I132" s="2" t="inlineStr">
        <is>
          <t xml:space="preserve"/>
        </is>
      </c>
      <c r="J132" s="2" t="inlineStr">
        <is>
          <t xml:space="preserve"/>
        </is>
      </c>
      <c r="K132" s="2" t="inlineStr">
        <is>
          <t xml:space="preserve"/>
        </is>
      </c>
      <c r="L132" s="2" t="inlineStr">
        <is>
          <t xml:space="preserve"/>
        </is>
      </c>
      <c r="M132" s="2" t="inlineStr">
        <is>
          <t xml:space="preserve"/>
        </is>
      </c>
      <c r="N132" s="2" t="inlineStr">
        <is>
          <t xml:space="preserve"/>
        </is>
      </c>
      <c r="O132" s="2" t="inlineStr">
        <is>
          <t xml:space="preserve"/>
        </is>
      </c>
      <c r="P132" s="2" t="inlineStr">
        <is>
          <t xml:space="preserve">docs/data/CSV_SCHEMAS.md; frontend/tests/csv-lifecycle.spec.ts</t>
        </is>
      </c>
      <c r="Q132" s="2" t="inlineStr">
        <is>
          <t xml:space="preserve">Not assessed</t>
        </is>
      </c>
      <c r="R132" s="2" t="inlineStr">
        <is>
          <t xml:space="preserve">Unclassified</t>
        </is>
      </c>
      <c r="S132" s="2" t="inlineStr">
        <is>
          <t xml:space="preserve">Not started</t>
        </is>
      </c>
    </row>
    <row r="133">
      <c r="A133" s="2" t="inlineStr">
        <is>
          <t xml:space="preserve">DATA-002</t>
        </is>
      </c>
      <c r="B133" s="2" t="inlineStr">
        <is>
          <t xml:space="preserve">Settings and Data Sources</t>
        </is>
      </c>
      <c r="C133" s="2" t="inlineStr">
        <is>
          <t xml:space="preserve">Data Sources › User access import</t>
        </is>
      </c>
      <c r="D133" s="2" t="inlineStr">
        <is>
          <t xml:space="preserve">User CSV validates assignments and validity dates and keeps previous data on failure.</t>
        </is>
      </c>
      <c r="E133" s="2" t="inlineStr">
        <is>
          <t xml:space="preserve">Not set</t>
        </is>
      </c>
      <c r="F133" s="2" t="inlineStr">
        <is>
          <t xml:space="preserve">Not tested</t>
        </is>
      </c>
      <c r="G133" s="2" t="inlineStr">
        <is>
          <t xml:space="preserve">Pending</t>
        </is>
      </c>
      <c r="H133" s="2" t="inlineStr">
        <is>
          <t xml:space="preserve"/>
        </is>
      </c>
      <c r="I133" s="2" t="inlineStr">
        <is>
          <t xml:space="preserve"/>
        </is>
      </c>
      <c r="J133" s="2" t="inlineStr">
        <is>
          <t xml:space="preserve"/>
        </is>
      </c>
      <c r="K133" s="2" t="inlineStr">
        <is>
          <t xml:space="preserve"/>
        </is>
      </c>
      <c r="L133" s="2" t="inlineStr">
        <is>
          <t xml:space="preserve"/>
        </is>
      </c>
      <c r="M133" s="2" t="inlineStr">
        <is>
          <t xml:space="preserve"/>
        </is>
      </c>
      <c r="N133" s="2" t="inlineStr">
        <is>
          <t xml:space="preserve"/>
        </is>
      </c>
      <c r="O133" s="2" t="inlineStr">
        <is>
          <t xml:space="preserve"/>
        </is>
      </c>
      <c r="P133" s="2" t="inlineStr">
        <is>
          <t xml:space="preserve">docs/data/CSV_SCHEMAS.md; frontend/tests/csv-lifecycle.spec.ts</t>
        </is>
      </c>
      <c r="Q133" s="2" t="inlineStr">
        <is>
          <t xml:space="preserve">Not assessed</t>
        </is>
      </c>
      <c r="R133" s="2" t="inlineStr">
        <is>
          <t xml:space="preserve">Unclassified</t>
        </is>
      </c>
      <c r="S133" s="2" t="inlineStr">
        <is>
          <t xml:space="preserve">Not started</t>
        </is>
      </c>
    </row>
    <row r="134">
      <c r="A134" s="2" t="inlineStr">
        <is>
          <t xml:space="preserve">DATA-003</t>
        </is>
      </c>
      <c r="B134" s="2" t="inlineStr">
        <is>
          <t xml:space="preserve">Settings and Data Sources</t>
        </is>
      </c>
      <c r="C134" s="2" t="inlineStr">
        <is>
          <t xml:space="preserve">Data Sources › SoD matrix import</t>
        </is>
      </c>
      <c r="D134" s="2" t="inlineStr">
        <is>
          <t xml:space="preserve">SoD CSV imports risks and activities, rejects unsupported rows and reports coverage.</t>
        </is>
      </c>
      <c r="E134" s="2" t="inlineStr">
        <is>
          <t xml:space="preserve">Not set</t>
        </is>
      </c>
      <c r="F134" s="2" t="inlineStr">
        <is>
          <t xml:space="preserve">Not tested</t>
        </is>
      </c>
      <c r="G134" s="2" t="inlineStr">
        <is>
          <t xml:space="preserve">Pending</t>
        </is>
      </c>
      <c r="H134" s="2" t="inlineStr">
        <is>
          <t xml:space="preserve"/>
        </is>
      </c>
      <c r="I134" s="2" t="inlineStr">
        <is>
          <t xml:space="preserve"/>
        </is>
      </c>
      <c r="J134" s="2" t="inlineStr">
        <is>
          <t xml:space="preserve"/>
        </is>
      </c>
      <c r="K134" s="2" t="inlineStr">
        <is>
          <t xml:space="preserve"/>
        </is>
      </c>
      <c r="L134" s="2" t="inlineStr">
        <is>
          <t xml:space="preserve"/>
        </is>
      </c>
      <c r="M134" s="2" t="inlineStr">
        <is>
          <t xml:space="preserve"/>
        </is>
      </c>
      <c r="N134" s="2" t="inlineStr">
        <is>
          <t xml:space="preserve"/>
        </is>
      </c>
      <c r="O134" s="2" t="inlineStr">
        <is>
          <t xml:space="preserve"/>
        </is>
      </c>
      <c r="P134" s="2" t="inlineStr">
        <is>
          <t xml:space="preserve">docs/data/SOD_MATRIX.md; frontend/tests/sod-feature.spec.ts</t>
        </is>
      </c>
      <c r="Q134" s="2" t="inlineStr">
        <is>
          <t xml:space="preserve">Not assessed</t>
        </is>
      </c>
      <c r="R134" s="2" t="inlineStr">
        <is>
          <t xml:space="preserve">Unclassified</t>
        </is>
      </c>
      <c r="S134" s="2" t="inlineStr">
        <is>
          <t xml:space="preserve">Not started</t>
        </is>
      </c>
    </row>
    <row r="135">
      <c r="A135" s="2" t="inlineStr">
        <is>
          <t xml:space="preserve">DATA-004</t>
        </is>
      </c>
      <c r="B135" s="2" t="inlineStr">
        <is>
          <t xml:space="preserve">Settings and Data Sources</t>
        </is>
      </c>
      <c r="C135" s="2" t="inlineStr">
        <is>
          <t xml:space="preserve">Data Sources › Employee Directory import</t>
        </is>
      </c>
      <c r="D135" s="2" t="inlineStr">
        <is>
          <t xml:space="preserve">Directory import matches by email, reports duplicates and keeps the previous directory when a replacement fails.</t>
        </is>
      </c>
      <c r="E135" s="2" t="inlineStr">
        <is>
          <t xml:space="preserve">Not set</t>
        </is>
      </c>
      <c r="F135" s="2" t="inlineStr">
        <is>
          <t xml:space="preserve">Not tested</t>
        </is>
      </c>
      <c r="G135" s="2" t="inlineStr">
        <is>
          <t xml:space="preserve">Pending</t>
        </is>
      </c>
      <c r="H135" s="2" t="inlineStr">
        <is>
          <t xml:space="preserve"/>
        </is>
      </c>
      <c r="I135" s="2" t="inlineStr">
        <is>
          <t xml:space="preserve"/>
        </is>
      </c>
      <c r="J135" s="2" t="inlineStr">
        <is>
          <t xml:space="preserve"/>
        </is>
      </c>
      <c r="K135" s="2" t="inlineStr">
        <is>
          <t xml:space="preserve"/>
        </is>
      </c>
      <c r="L135" s="2" t="inlineStr">
        <is>
          <t xml:space="preserve"/>
        </is>
      </c>
      <c r="M135" s="2" t="inlineStr">
        <is>
          <t xml:space="preserve"/>
        </is>
      </c>
      <c r="N135" s="2" t="inlineStr">
        <is>
          <t xml:space="preserve"/>
        </is>
      </c>
      <c r="O135" s="2" t="inlineStr">
        <is>
          <t xml:space="preserve"/>
        </is>
      </c>
      <c r="P135" s="2" t="inlineStr">
        <is>
          <t xml:space="preserve">docs/data/EMPLOYEE_DIRECTORY.md; frontend/tests/employee-directory.spec.ts</t>
        </is>
      </c>
      <c r="Q135" s="2" t="inlineStr">
        <is>
          <t xml:space="preserve">Not assessed</t>
        </is>
      </c>
      <c r="R135" s="2" t="inlineStr">
        <is>
          <t xml:space="preserve">Unclassified</t>
        </is>
      </c>
      <c r="S135" s="2" t="inlineStr">
        <is>
          <t xml:space="preserve">Not started</t>
        </is>
      </c>
    </row>
    <row r="136">
      <c r="A136" s="2" t="inlineStr">
        <is>
          <t xml:space="preserve">DATA-005</t>
        </is>
      </c>
      <c r="B136" s="2" t="inlineStr">
        <is>
          <t xml:space="preserve">Settings and Data Sources</t>
        </is>
      </c>
      <c r="C136" s="2" t="inlineStr">
        <is>
          <t xml:space="preserve">Data Sources › Static and dynamic sources</t>
        </is>
      </c>
      <c r="D136" s="2" t="inlineStr">
        <is>
          <t xml:space="preserve">Static sources keep private snapshots; dynamic sources re-read the file on refresh.</t>
        </is>
      </c>
      <c r="E136" s="2" t="inlineStr">
        <is>
          <t xml:space="preserve">Not set</t>
        </is>
      </c>
      <c r="F136" s="2" t="inlineStr">
        <is>
          <t xml:space="preserve">Not tested</t>
        </is>
      </c>
      <c r="G136" s="2" t="inlineStr">
        <is>
          <t xml:space="preserve">Pending</t>
        </is>
      </c>
      <c r="H136" s="2" t="inlineStr">
        <is>
          <t xml:space="preserve"/>
        </is>
      </c>
      <c r="I136" s="2" t="inlineStr">
        <is>
          <t xml:space="preserve"/>
        </is>
      </c>
      <c r="J136" s="2" t="inlineStr">
        <is>
          <t xml:space="preserve"/>
        </is>
      </c>
      <c r="K136" s="2" t="inlineStr">
        <is>
          <t xml:space="preserve"/>
        </is>
      </c>
      <c r="L136" s="2" t="inlineStr">
        <is>
          <t xml:space="preserve"/>
        </is>
      </c>
      <c r="M136" s="2" t="inlineStr">
        <is>
          <t xml:space="preserve"/>
        </is>
      </c>
      <c r="N136" s="2" t="inlineStr">
        <is>
          <t xml:space="preserve"/>
        </is>
      </c>
      <c r="O136" s="2" t="inlineStr">
        <is>
          <t xml:space="preserve"/>
        </is>
      </c>
      <c r="P136" s="2" t="inlineStr">
        <is>
          <t xml:space="preserve">docs/data/IMPORT_AND_REFRESH.md; frontend/tests/automatic-import.spec.ts</t>
        </is>
      </c>
      <c r="Q136" s="2" t="inlineStr">
        <is>
          <t xml:space="preserve">Not assessed</t>
        </is>
      </c>
      <c r="R136" s="2" t="inlineStr">
        <is>
          <t xml:space="preserve">Unclassified</t>
        </is>
      </c>
      <c r="S136" s="2" t="inlineStr">
        <is>
          <t xml:space="preserve">Not started</t>
        </is>
      </c>
    </row>
    <row r="137">
      <c r="A137" s="2" t="inlineStr">
        <is>
          <t xml:space="preserve">DATA-006</t>
        </is>
      </c>
      <c r="B137" s="2" t="inlineStr">
        <is>
          <t xml:space="preserve">Settings and Data Sources</t>
        </is>
      </c>
      <c r="C137" s="2" t="inlineStr">
        <is>
          <t xml:space="preserve">Data Sources › Global refresh</t>
        </is>
      </c>
      <c r="D137" s="2" t="inlineStr">
        <is>
          <t xml:space="preserve">Refresh checks dynamic sources, reports failures and retains previous data.</t>
        </is>
      </c>
      <c r="E137" s="2" t="inlineStr">
        <is>
          <t xml:space="preserve">Not set</t>
        </is>
      </c>
      <c r="F137" s="2" t="inlineStr">
        <is>
          <t xml:space="preserve">Not tested</t>
        </is>
      </c>
      <c r="G137" s="2" t="inlineStr">
        <is>
          <t xml:space="preserve">Pending</t>
        </is>
      </c>
      <c r="H137" s="2" t="inlineStr">
        <is>
          <t xml:space="preserve"/>
        </is>
      </c>
      <c r="I137" s="2" t="inlineStr">
        <is>
          <t xml:space="preserve"/>
        </is>
      </c>
      <c r="J137" s="2" t="inlineStr">
        <is>
          <t xml:space="preserve"/>
        </is>
      </c>
      <c r="K137" s="2" t="inlineStr">
        <is>
          <t xml:space="preserve"/>
        </is>
      </c>
      <c r="L137" s="2" t="inlineStr">
        <is>
          <t xml:space="preserve"/>
        </is>
      </c>
      <c r="M137" s="2" t="inlineStr">
        <is>
          <t xml:space="preserve"/>
        </is>
      </c>
      <c r="N137" s="2" t="inlineStr">
        <is>
          <t xml:space="preserve"/>
        </is>
      </c>
      <c r="O137" s="2" t="inlineStr">
        <is>
          <t xml:space="preserve"/>
        </is>
      </c>
      <c r="P137" s="2" t="inlineStr">
        <is>
          <t xml:space="preserve">docs/data/IMPORT_AND_REFRESH.md; frontend/tests/scheduled-refresh.spec.ts</t>
        </is>
      </c>
      <c r="Q137" s="2" t="inlineStr">
        <is>
          <t xml:space="preserve">Not assessed</t>
        </is>
      </c>
      <c r="R137" s="2" t="inlineStr">
        <is>
          <t xml:space="preserve">Unclassified</t>
        </is>
      </c>
      <c r="S137" s="2" t="inlineStr">
        <is>
          <t xml:space="preserve">Not started</t>
        </is>
      </c>
    </row>
    <row r="138">
      <c r="A138" s="2" t="inlineStr">
        <is>
          <t xml:space="preserve">DATA-007</t>
        </is>
      </c>
      <c r="B138" s="2" t="inlineStr">
        <is>
          <t xml:space="preserve">Settings and Data Sources</t>
        </is>
      </c>
      <c r="C138" s="2" t="inlineStr">
        <is>
          <t xml:space="preserve">Data Sources › History and snapshots</t>
        </is>
      </c>
      <c r="D138" s="2" t="inlineStr">
        <is>
          <t xml:space="preserve">Review history, period snapshots and decisions survive restarts and source replacement.</t>
        </is>
      </c>
      <c r="E138" s="2" t="inlineStr">
        <is>
          <t xml:space="preserve">Not set</t>
        </is>
      </c>
      <c r="F138" s="2" t="inlineStr">
        <is>
          <t xml:space="preserve">Not tested</t>
        </is>
      </c>
      <c r="G138" s="2" t="inlineStr">
        <is>
          <t xml:space="preserve">Pending</t>
        </is>
      </c>
      <c r="H138" s="2" t="inlineStr">
        <is>
          <t xml:space="preserve"/>
        </is>
      </c>
      <c r="I138" s="2" t="inlineStr">
        <is>
          <t xml:space="preserve"/>
        </is>
      </c>
      <c r="J138" s="2" t="inlineStr">
        <is>
          <t xml:space="preserve"/>
        </is>
      </c>
      <c r="K138" s="2" t="inlineStr">
        <is>
          <t xml:space="preserve"/>
        </is>
      </c>
      <c r="L138" s="2" t="inlineStr">
        <is>
          <t xml:space="preserve"/>
        </is>
      </c>
      <c r="M138" s="2" t="inlineStr">
        <is>
          <t xml:space="preserve"/>
        </is>
      </c>
      <c r="N138" s="2" t="inlineStr">
        <is>
          <t xml:space="preserve"/>
        </is>
      </c>
      <c r="O138" s="2" t="inlineStr">
        <is>
          <t xml:space="preserve"/>
        </is>
      </c>
      <c r="P138" s="2" t="inlineStr">
        <is>
          <t xml:space="preserve">docs/data/IMPORT_AND_REFRESH.md; frontend/tests/csv-lifecycle.spec.ts</t>
        </is>
      </c>
      <c r="Q138" s="2" t="inlineStr">
        <is>
          <t xml:space="preserve">Not assessed</t>
        </is>
      </c>
      <c r="R138" s="2" t="inlineStr">
        <is>
          <t xml:space="preserve">Unclassified</t>
        </is>
      </c>
      <c r="S138" s="2" t="inlineStr">
        <is>
          <t xml:space="preserve">Not started</t>
        </is>
      </c>
    </row>
    <row r="139">
      <c r="A139" s="2" t="inlineStr">
        <is>
          <t xml:space="preserve">DATA-008</t>
        </is>
      </c>
      <c r="B139" s="2" t="inlineStr">
        <is>
          <t xml:space="preserve">Settings and Data Sources</t>
        </is>
      </c>
      <c r="C139" s="2" t="inlineStr">
        <is>
          <t xml:space="preserve">Data Sources › Startup restore</t>
        </is>
      </c>
      <c r="D139" s="2" t="inlineStr">
        <is>
          <t xml:space="preserve">After a restart persisted datasets are restored and all views show them without a manual refresh.</t>
        </is>
      </c>
      <c r="E139" s="2" t="inlineStr">
        <is>
          <t xml:space="preserve">Not set</t>
        </is>
      </c>
      <c r="F139" s="2" t="inlineStr">
        <is>
          <t xml:space="preserve">Not tested</t>
        </is>
      </c>
      <c r="G139" s="2" t="inlineStr">
        <is>
          <t xml:space="preserve">Pending</t>
        </is>
      </c>
      <c r="H139" s="2" t="inlineStr">
        <is>
          <t xml:space="preserve"/>
        </is>
      </c>
      <c r="I139" s="2" t="inlineStr">
        <is>
          <t xml:space="preserve"/>
        </is>
      </c>
      <c r="J139" s="2" t="inlineStr">
        <is>
          <t xml:space="preserve"/>
        </is>
      </c>
      <c r="K139" s="2" t="inlineStr">
        <is>
          <t xml:space="preserve"/>
        </is>
      </c>
      <c r="L139" s="2" t="inlineStr">
        <is>
          <t xml:space="preserve"/>
        </is>
      </c>
      <c r="M139" s="2" t="inlineStr">
        <is>
          <t xml:space="preserve"/>
        </is>
      </c>
      <c r="N139" s="2" t="inlineStr">
        <is>
          <t xml:space="preserve"/>
        </is>
      </c>
      <c r="O139" s="2" t="inlineStr">
        <is>
          <t xml:space="preserve"/>
        </is>
      </c>
      <c r="P139" s="2" t="inlineStr">
        <is>
          <t xml:space="preserve">docs/data/IMPORT_AND_REFRESH.md; frontend/tests/startup-reliability.spec.ts</t>
        </is>
      </c>
      <c r="Q139" s="2" t="inlineStr">
        <is>
          <t xml:space="preserve">Not assessed</t>
        </is>
      </c>
      <c r="R139" s="2" t="inlineStr">
        <is>
          <t xml:space="preserve">Unclassified</t>
        </is>
      </c>
      <c r="S139" s="2" t="inlineStr">
        <is>
          <t xml:space="preserve">Not started</t>
        </is>
      </c>
    </row>
    <row r="140">
      <c r="A140" s="2" t="inlineStr">
        <is>
          <t xml:space="preserve">DATA-009</t>
        </is>
      </c>
      <c r="B140" s="2" t="inlineStr">
        <is>
          <t xml:space="preserve">Settings and Data Sources</t>
        </is>
      </c>
      <c r="C140" s="2" t="inlineStr">
        <is>
          <t xml:space="preserve">Data Sources › Saved filter migration</t>
        </is>
      </c>
      <c r="D140" s="2" t="inlineStr">
        <is>
          <t xml:space="preserve">Older saved filters load into the current filter model.</t>
        </is>
      </c>
      <c r="E140" s="2" t="inlineStr">
        <is>
          <t xml:space="preserve">Not set</t>
        </is>
      </c>
      <c r="F140" s="2" t="inlineStr">
        <is>
          <t xml:space="preserve">Not tested</t>
        </is>
      </c>
      <c r="G140" s="2" t="inlineStr">
        <is>
          <t xml:space="preserve">Pending</t>
        </is>
      </c>
      <c r="H140" s="2" t="inlineStr">
        <is>
          <t xml:space="preserve"/>
        </is>
      </c>
      <c r="I140" s="2" t="inlineStr">
        <is>
          <t xml:space="preserve"/>
        </is>
      </c>
      <c r="J140" s="2" t="inlineStr">
        <is>
          <t xml:space="preserve"/>
        </is>
      </c>
      <c r="K140" s="2" t="inlineStr">
        <is>
          <t xml:space="preserve"/>
        </is>
      </c>
      <c r="L140" s="2" t="inlineStr">
        <is>
          <t xml:space="preserve"/>
        </is>
      </c>
      <c r="M140" s="2" t="inlineStr">
        <is>
          <t xml:space="preserve"/>
        </is>
      </c>
      <c r="N140" s="2" t="inlineStr">
        <is>
          <t xml:space="preserve"/>
        </is>
      </c>
      <c r="O140" s="2" t="inlineStr">
        <is>
          <t xml:space="preserve"/>
        </is>
      </c>
      <c r="P140" s="2" t="inlineStr">
        <is>
          <t xml:space="preserve">docs/features/SAVED_FILTERS.md; frontend/tests/saved-filter-migration.spec.ts</t>
        </is>
      </c>
      <c r="Q140" s="2" t="inlineStr">
        <is>
          <t xml:space="preserve">Not assessed</t>
        </is>
      </c>
      <c r="R140" s="2" t="inlineStr">
        <is>
          <t xml:space="preserve">Unclassified</t>
        </is>
      </c>
      <c r="S140" s="2" t="inlineStr">
        <is>
          <t xml:space="preserve">Not started</t>
        </is>
      </c>
    </row>
    <row r="141">
      <c r="A141" s="2" t="inlineStr">
        <is>
          <t xml:space="preserve">DATA-010</t>
        </is>
      </c>
      <c r="B141" s="2" t="inlineStr">
        <is>
          <t xml:space="preserve">Settings and Data Sources</t>
        </is>
      </c>
      <c r="C141" s="2" t="inlineStr">
        <is>
          <t xml:space="preserve">Settings, Data Sources › Browse CSV always available</t>
        </is>
      </c>
      <c r="D141" s="2" t="inlineStr">
        <is>
          <t xml:space="preserve">Browse CSV (one label for every source) stays available when a file is configured; it opens the native dialog, the upload chooser or an explained file location field; a replacement that does not validate never replaces the configured file or its data, and a valid one is confirmed by name and counts.</t>
        </is>
      </c>
      <c r="E141" s="2" t="inlineStr">
        <is>
          <t xml:space="preserve">Not set</t>
        </is>
      </c>
      <c r="F141" s="2" t="inlineStr">
        <is>
          <t xml:space="preserve">Not tested</t>
        </is>
      </c>
      <c r="G141" s="2" t="inlineStr">
        <is>
          <t xml:space="preserve">Pending</t>
        </is>
      </c>
      <c r="H141" s="2" t="inlineStr">
        <is>
          <t xml:space="preserve">frontend/tests/data-source-browse.spec.ts; frontend/tests/automatic-import.spec.ts; frontend/tests/desktop.spec.ts</t>
        </is>
      </c>
      <c r="I141" s="2" t="inlineStr">
        <is>
          <t xml:space="preserve"/>
        </is>
      </c>
      <c r="J141" s="2" t="inlineStr">
        <is>
          <t xml:space="preserve"/>
        </is>
      </c>
      <c r="K141" s="2" t="inlineStr">
        <is>
          <t xml:space="preserve"/>
        </is>
      </c>
      <c r="L141" s="2" t="inlineStr">
        <is>
          <t xml:space="preserve"/>
        </is>
      </c>
      <c r="M141" s="2" t="inlineStr">
        <is>
          <t xml:space="preserve"/>
        </is>
      </c>
      <c r="N141" s="2" t="inlineStr">
        <is>
          <t xml:space="preserve"/>
        </is>
      </c>
      <c r="O141" s="2" t="inlineStr">
        <is>
          <t xml:space="preserve"/>
        </is>
      </c>
      <c r="P141" s="2" t="inlineStr">
        <is>
          <t xml:space="preserve">frontend/src/components/Settings/SourceManager.tsx; docs/data/IMPORT_AND_REFRESH.md</t>
        </is>
      </c>
      <c r="Q141" s="2" t="inlineStr">
        <is>
          <t xml:space="preserve">Implemented</t>
        </is>
      </c>
      <c r="R141" s="2" t="inlineStr">
        <is>
          <t xml:space="preserve">Unclassified</t>
        </is>
      </c>
      <c r="S141" s="2" t="inlineStr">
        <is>
          <t xml:space="preserve">Not started</t>
        </is>
      </c>
    </row>
    <row r="142">
      <c r="A142" s="2" t="inlineStr">
        <is>
          <t xml:space="preserve">DATA-011</t>
        </is>
      </c>
      <c r="B142" s="2" t="inlineStr">
        <is>
          <t xml:space="preserve">Settings and Data Sources</t>
        </is>
      </c>
      <c r="C142" s="2" t="inlineStr">
        <is>
          <t xml:space="preserve">Settings, Data Sources › SoD Matrix source inspection</t>
        </is>
      </c>
      <c r="D142" s="2" t="inlineStr">
        <is>
          <t xml:space="preserve">The SoD Matrix source offers a read-only inspection like the other sources: counts, validation results, column interpretation of the fixed schema (no remapping), quality warnings, import metadata and the imported records.</t>
        </is>
      </c>
      <c r="E142" s="2" t="inlineStr">
        <is>
          <t xml:space="preserve">Not set</t>
        </is>
      </c>
      <c r="F142" s="2" t="inlineStr">
        <is>
          <t xml:space="preserve">Not tested</t>
        </is>
      </c>
      <c r="G142" s="2" t="inlineStr">
        <is>
          <t xml:space="preserve">Pending</t>
        </is>
      </c>
      <c r="H142" s="2" t="inlineStr">
        <is>
          <t xml:space="preserve">frontend/tests/data-source-browse.spec.ts; backend/tests/test_sod_inspection.py</t>
        </is>
      </c>
      <c r="I142" s="2" t="inlineStr">
        <is>
          <t xml:space="preserve"/>
        </is>
      </c>
      <c r="J142" s="2" t="inlineStr">
        <is>
          <t xml:space="preserve"/>
        </is>
      </c>
      <c r="K142" s="2" t="inlineStr">
        <is>
          <t xml:space="preserve"/>
        </is>
      </c>
      <c r="L142" s="2" t="inlineStr">
        <is>
          <t xml:space="preserve"/>
        </is>
      </c>
      <c r="M142" s="2" t="inlineStr">
        <is>
          <t xml:space="preserve"/>
        </is>
      </c>
      <c r="N142" s="2" t="inlineStr">
        <is>
          <t xml:space="preserve"/>
        </is>
      </c>
      <c r="O142" s="2" t="inlineStr">
        <is>
          <t xml:space="preserve"/>
        </is>
      </c>
      <c r="P142" s="2" t="inlineStr">
        <is>
          <t xml:space="preserve">frontend/src/components/Settings/SodSourceInspection.tsx; backend/routers/data_sources.py; docs/data/IMPORT_AND_REFRESH.md</t>
        </is>
      </c>
      <c r="Q142" s="2" t="inlineStr">
        <is>
          <t xml:space="preserve">Implemented</t>
        </is>
      </c>
      <c r="R142" s="2" t="inlineStr">
        <is>
          <t xml:space="preserve">Unclassified</t>
        </is>
      </c>
      <c r="S142" s="2" t="inlineStr">
        <is>
          <t xml:space="preserve">Not started</t>
        </is>
      </c>
    </row>
    <row r="143">
      <c r="A143" s="2" t="inlineStr">
        <is>
          <t xml:space="preserve">DATA-012</t>
        </is>
      </c>
      <c r="B143" s="2" t="inlineStr">
        <is>
          <t xml:space="preserve">Settings and Data Sources</t>
        </is>
      </c>
      <c r="C143" s="2" t="inlineStr">
        <is>
          <t xml:space="preserve">Settings, Data Sources, SoD Matrix › R5 SoD Matrix CSV inspection verified</t>
        </is>
      </c>
      <c r="D143" s="2" t="inlineStr">
        <is>
          <t xml:space="preserve">Browse CSV stays available with a configured file, failed imports keep the last valid dataset, read-only inspection shows detected columns, records and validation warnings, following the other source patterns.</t>
        </is>
      </c>
      <c r="E143" s="2" t="inlineStr">
        <is>
          <t xml:space="preserve">Not set</t>
        </is>
      </c>
      <c r="F143" s="2" t="inlineStr">
        <is>
          <t xml:space="preserve">Not tested</t>
        </is>
      </c>
      <c r="G143" s="2" t="inlineStr">
        <is>
          <t xml:space="preserve">Pending</t>
        </is>
      </c>
      <c r="H143" s="2" t="inlineStr">
        <is>
          <t xml:space="preserve">frontend/tests/data-source-browse.spec.ts; backend/tests/test_sod_inspection.py</t>
        </is>
      </c>
      <c r="I143" s="2" t="inlineStr">
        <is>
          <t xml:space="preserve"/>
        </is>
      </c>
      <c r="J143" s="2" t="inlineStr">
        <is>
          <t xml:space="preserve"/>
        </is>
      </c>
      <c r="K143" s="2" t="inlineStr">
        <is>
          <t xml:space="preserve"/>
        </is>
      </c>
      <c r="L143" s="2" t="inlineStr">
        <is>
          <t xml:space="preserve"/>
        </is>
      </c>
      <c r="M143" s="2" t="inlineStr">
        <is>
          <t xml:space="preserve"/>
        </is>
      </c>
      <c r="N143" s="2" t="inlineStr">
        <is>
          <t xml:space="preserve">Import a real SoD matrix and a broken one and inspect the result.</t>
        </is>
      </c>
      <c r="O143" s="2" t="inlineStr">
        <is>
          <t xml:space="preserve">No functional gap found in R6; a typed path is still imported on leaving the field, so there is no pre-import preview.</t>
        </is>
      </c>
      <c r="P143" s="2" t="inlineStr">
        <is>
          <t xml:space="preserve">frontend/src/components/Settings/SodSourceInspection.tsx; frontend/src/components/Settings/SourceManager.tsx</t>
        </is>
      </c>
      <c r="Q143" s="2" t="inlineStr">
        <is>
          <t xml:space="preserve">Implemented</t>
        </is>
      </c>
      <c r="R143" s="2" t="inlineStr">
        <is>
          <t xml:space="preserve">Unclassified</t>
        </is>
      </c>
      <c r="S143" s="2" t="inlineStr">
        <is>
          <t xml:space="preserve">Not started</t>
        </is>
      </c>
    </row>
    <row r="144">
      <c r="A144" s="2" t="inlineStr">
        <is>
          <t xml:space="preserve">DATA-013</t>
        </is>
      </c>
      <c r="B144" s="2" t="inlineStr">
        <is>
          <t xml:space="preserve">Settings and Data Sources</t>
        </is>
      </c>
      <c r="C144" s="2" t="inlineStr">
        <is>
          <t xml:space="preserve">Settings, Data Sources, SoD Matrix › SoD CSV format, mapping and validation (R6 correction)</t>
        </is>
      </c>
      <c r="D144" s="2" t="inlineStr">
        <is>
          <t xml:space="preserve">The SoD Matrix source has the Advanced import format and column mapping section: delimiter and encoding, mapping against the fixed documented schema, and a read-only validation and preview (counts, errors, SoD checks, sample rows). Inspection stores nothing; invalid files never replace valid data; format and mapping are saved with the import.</t>
        </is>
      </c>
      <c r="E144" s="2" t="inlineStr">
        <is>
          <t xml:space="preserve">Not set</t>
        </is>
      </c>
      <c r="F144" s="2" t="inlineStr">
        <is>
          <t xml:space="preserve">Not tested</t>
        </is>
      </c>
      <c r="G144" s="2" t="inlineStr">
        <is>
          <t xml:space="preserve">Pending</t>
        </is>
      </c>
      <c r="H144" s="2" t="inlineStr">
        <is>
          <t xml:space="preserve">frontend/tests/sod-source-import.spec.ts; backend/tests/test_sod_inspection.py (candidate inspection, manual mapping, invalid content, input rejection, profile persistence, last valid data kept)</t>
        </is>
      </c>
      <c r="I144" s="2" t="inlineStr">
        <is>
          <t xml:space="preserve"/>
        </is>
      </c>
      <c r="J144" s="2" t="inlineStr">
        <is>
          <t xml:space="preserve"/>
        </is>
      </c>
      <c r="K144" s="2" t="inlineStr">
        <is>
          <t xml:space="preserve">Visually checked in light and dark at 1280 and 375 px; the preview table scrolls inside its own container with no page-level horizontal scroll.</t>
        </is>
      </c>
      <c r="L144" s="2" t="inlineStr">
        <is>
          <t xml:space="preserve"/>
        </is>
      </c>
      <c r="M144" s="2" t="inlineStr">
        <is>
          <t xml:space="preserve"/>
        </is>
      </c>
      <c r="N144" s="2" t="inlineStr">
        <is>
          <t xml:space="preserve">Try a real SoD export with different headers and a semicolon delimiter; confirm mapping and preview in both themes.</t>
        </is>
      </c>
      <c r="O144" s="2" t="inlineStr">
        <is>
          <t xml:space="preserve">A typed path is still imported on leaving the field (the inspection shows its result as soon as the path changes); native file dialogs were not run on Windows.</t>
        </is>
      </c>
      <c r="P144" s="2" t="inlineStr">
        <is>
          <t xml:space="preserve">frontend/src/components/Settings/SodImportEditor.tsx; backend/sod_import.py; backend/routers/data_sources.py; docs/data/IMPORT_AND_REFRESH.md</t>
        </is>
      </c>
      <c r="Q144" s="2" t="inlineStr">
        <is>
          <t xml:space="preserve">Implemented</t>
        </is>
      </c>
      <c r="R144" s="2" t="inlineStr">
        <is>
          <t xml:space="preserve">Unclassified</t>
        </is>
      </c>
      <c r="S144" s="2" t="inlineStr">
        <is>
          <t xml:space="preserve">Not started</t>
        </is>
      </c>
    </row>
    <row r="145">
      <c r="A145" s="2" t="inlineStr">
        <is>
          <t xml:space="preserve">DATA-014</t>
        </is>
      </c>
      <c r="B145" s="2" t="inlineStr">
        <is>
          <t xml:space="preserve">Settings and Data Sources</t>
        </is>
      </c>
      <c r="C145" s="2" t="inlineStr">
        <is>
          <t xml:space="preserve">Settings, Data Sources, SoD Matrix › Optional metadata, provenance and coverage</t>
        </is>
      </c>
      <c r="D145" s="2" t="inlineStr">
        <is>
          <t xml:space="preserve">Optional descriptive columns import without breaking existing files; imported values take priority over local text, both are kept and never overwrite each other; coverage over distinct risks, activities and transaction codes separates an absent column from missing values; detection is unchanged.</t>
        </is>
      </c>
      <c r="E145" s="2" t="inlineStr">
        <is>
          <t xml:space="preserve">Not set</t>
        </is>
      </c>
      <c r="F145" s="2" t="inlineStr">
        <is>
          <t xml:space="preserve">Not tested</t>
        </is>
      </c>
      <c r="G145" s="2" t="inlineStr">
        <is>
          <t xml:space="preserve">Pending</t>
        </is>
      </c>
      <c r="H145" s="2" t="inlineStr">
        <is>
          <t xml:space="preserve">backend/tests/test_sod_metadata.py (15 tests); frontend/tests/sod-metadata.spec.ts</t>
        </is>
      </c>
      <c r="I145" s="2" t="inlineStr">
        <is>
          <t xml:space="preserve"/>
        </is>
      </c>
      <c r="J145" s="2" t="inlineStr">
        <is>
          <t xml:space="preserve"/>
        </is>
      </c>
      <c r="K145" s="2" t="inlineStr">
        <is>
          <t xml:space="preserve">Optional columns are proposed export fields, not verified SAP columns.</t>
        </is>
      </c>
      <c r="L145" s="2" t="inlineStr">
        <is>
          <t xml:space="preserve"/>
        </is>
      </c>
      <c r="M145" s="2" t="inlineStr">
        <is>
          <t xml:space="preserve"/>
        </is>
      </c>
      <c r="N145" s="2" t="inlineStr">
        <is>
          <t xml:space="preserve">Import a real export with and without the optional columns and read the coverage section.</t>
        </is>
      </c>
      <c r="O145" s="2" t="inlineStr">
        <is>
          <t xml:space="preserve">Not tested against a real upstream export; PDF/DOCX reports do not use the resolver yet.</t>
        </is>
      </c>
      <c r="P145" s="2" t="inlineStr">
        <is>
          <t xml:space="preserve">backend/sod_import.py; backend/sod_metadata.py; backend/csv_lifecycle.py; frontend/src/components/Settings/SodMetadataCoverage.tsx; docs/data/SOD_MATRIX.md</t>
        </is>
      </c>
      <c r="Q145" s="2" t="inlineStr">
        <is>
          <t xml:space="preserve">Implemented</t>
        </is>
      </c>
      <c r="R145" s="2" t="inlineStr">
        <is>
          <t xml:space="preserve">Unclassified</t>
        </is>
      </c>
      <c r="S145" s="2" t="inlineStr">
        <is>
          <t xml:space="preserve">Not started</t>
        </is>
      </c>
    </row>
    <row r="146">
      <c r="A146" s="2" t="inlineStr">
        <is>
          <t xml:space="preserve">SET-004</t>
        </is>
      </c>
      <c r="B146" s="2" t="inlineStr">
        <is>
          <t xml:space="preserve">SAP Modules</t>
        </is>
      </c>
      <c r="C146" s="2" t="inlineStr">
        <is>
          <t xml:space="preserve">Settings › SAP Modules</t>
        </is>
      </c>
      <c r="D146" s="2" t="inlineStr">
        <is>
          <t xml:space="preserve">Module names, colors and icons are configurable and used consistently.</t>
        </is>
      </c>
      <c r="E146" s="2" t="inlineStr">
        <is>
          <t xml:space="preserve">Not set</t>
        </is>
      </c>
      <c r="F146" s="2" t="inlineStr">
        <is>
          <t xml:space="preserve">Not tested</t>
        </is>
      </c>
      <c r="G146" s="2" t="inlineStr">
        <is>
          <t xml:space="preserve">Pending</t>
        </is>
      </c>
      <c r="H146" s="2" t="inlineStr">
        <is>
          <t xml:space="preserve"/>
        </is>
      </c>
      <c r="I146" s="2" t="inlineStr">
        <is>
          <t xml:space="preserve"/>
        </is>
      </c>
      <c r="J146" s="2" t="inlineStr">
        <is>
          <t xml:space="preserve"/>
        </is>
      </c>
      <c r="K146" s="2" t="inlineStr">
        <is>
          <t xml:space="preserve"/>
        </is>
      </c>
      <c r="L146" s="2" t="inlineStr">
        <is>
          <t xml:space="preserve"/>
        </is>
      </c>
      <c r="M146" s="2" t="inlineStr">
        <is>
          <t xml:space="preserve"/>
        </is>
      </c>
      <c r="N146" s="2" t="inlineStr">
        <is>
          <t xml:space="preserve"/>
        </is>
      </c>
      <c r="O146" s="2" t="inlineStr">
        <is>
          <t xml:space="preserve"/>
        </is>
      </c>
      <c r="P146" s="2" t="inlineStr">
        <is>
          <t xml:space="preserve">docs/data/SAP_MODULES.md; frontend/tests/settings-refinement.spec.ts</t>
        </is>
      </c>
      <c r="Q146" s="2" t="inlineStr">
        <is>
          <t xml:space="preserve">Not assessed</t>
        </is>
      </c>
      <c r="R146" s="2" t="inlineStr">
        <is>
          <t xml:space="preserve">Unclassified</t>
        </is>
      </c>
      <c r="S146" s="2" t="inlineStr">
        <is>
          <t xml:space="preserve">Not started</t>
        </is>
      </c>
    </row>
    <row r="147">
      <c r="A147" s="2" t="inlineStr">
        <is>
          <t xml:space="preserve">SET-010</t>
        </is>
      </c>
      <c r="B147" s="2" t="inlineStr">
        <is>
          <t xml:space="preserve">SAP Modules</t>
        </is>
      </c>
      <c r="C147" s="2" t="inlineStr">
        <is>
          <t xml:space="preserve">SAP Modules › Classification capitalization</t>
        </is>
      </c>
      <c r="D147" s="2" t="inlineStr">
        <is>
          <t xml:space="preserve">SAP Area cards show Module, Submodule and the other classifications capitalized; stored values stay lowercase.</t>
        </is>
      </c>
      <c r="E147" s="2" t="inlineStr">
        <is>
          <t xml:space="preserve">Not set</t>
        </is>
      </c>
      <c r="F147" s="2" t="inlineStr">
        <is>
          <t xml:space="preserve">Not tested</t>
        </is>
      </c>
      <c r="G147" s="2" t="inlineStr">
        <is>
          <t xml:space="preserve">Pending</t>
        </is>
      </c>
      <c r="H147" s="2" t="inlineStr">
        <is>
          <t xml:space="preserve">frontend/tests/shared-ui-r5.spec.ts</t>
        </is>
      </c>
      <c r="I147" s="2" t="inlineStr">
        <is>
          <t xml:space="preserve"/>
        </is>
      </c>
      <c r="J147" s="2" t="inlineStr">
        <is>
          <t xml:space="preserve"/>
        </is>
      </c>
      <c r="K147" s="2" t="inlineStr">
        <is>
          <t xml:space="preserve"/>
        </is>
      </c>
      <c r="L147" s="2" t="inlineStr">
        <is>
          <t xml:space="preserve"/>
        </is>
      </c>
      <c r="M147" s="2" t="inlineStr">
        <is>
          <t xml:space="preserve"/>
        </is>
      </c>
      <c r="N147" s="2" t="inlineStr">
        <is>
          <t xml:space="preserve"/>
        </is>
      </c>
      <c r="O147" s="2" t="inlineStr">
        <is>
          <t xml:space="preserve"/>
        </is>
      </c>
      <c r="P147" s="2" t="inlineStr">
        <is>
          <t xml:space="preserve">frontend/src/components/Settings/ModuleEditor.tsx</t>
        </is>
      </c>
      <c r="Q147" s="2" t="inlineStr">
        <is>
          <t xml:space="preserve">Implemented</t>
        </is>
      </c>
      <c r="R147" s="2" t="inlineStr">
        <is>
          <t xml:space="preserve">Unclassified</t>
        </is>
      </c>
      <c r="S147" s="2" t="inlineStr">
        <is>
          <t xml:space="preserve">Not started</t>
        </is>
      </c>
    </row>
    <row r="148">
      <c r="A148" s="2" t="inlineStr">
        <is>
          <t xml:space="preserve">SET-005</t>
        </is>
      </c>
      <c r="B148" s="2" t="inlineStr">
        <is>
          <t xml:space="preserve">SoD Risk Configuration</t>
        </is>
      </c>
      <c r="C148" s="2" t="inlineStr">
        <is>
          <t xml:space="preserve">Settings › SoD Risk Configuration</t>
        </is>
      </c>
      <c r="D148" s="2" t="inlineStr">
        <is>
          <t xml:space="preserve">Risks enable and disable with immutable source fields and suggestions from evidence.</t>
        </is>
      </c>
      <c r="E148" s="2" t="inlineStr">
        <is>
          <t xml:space="preserve">Not set</t>
        </is>
      </c>
      <c r="F148" s="2" t="inlineStr">
        <is>
          <t xml:space="preserve">Not tested</t>
        </is>
      </c>
      <c r="G148" s="2" t="inlineStr">
        <is>
          <t xml:space="preserve">Pending</t>
        </is>
      </c>
      <c r="H148" s="2" t="inlineStr">
        <is>
          <t xml:space="preserve"/>
        </is>
      </c>
      <c r="I148" s="2" t="inlineStr">
        <is>
          <t xml:space="preserve"/>
        </is>
      </c>
      <c r="J148" s="2" t="inlineStr">
        <is>
          <t xml:space="preserve"/>
        </is>
      </c>
      <c r="K148" s="2" t="inlineStr">
        <is>
          <t xml:space="preserve"/>
        </is>
      </c>
      <c r="L148" s="2" t="inlineStr">
        <is>
          <t xml:space="preserve"/>
        </is>
      </c>
      <c r="M148" s="2" t="inlineStr">
        <is>
          <t xml:space="preserve"/>
        </is>
      </c>
      <c r="N148" s="2" t="inlineStr">
        <is>
          <t xml:space="preserve"/>
        </is>
      </c>
      <c r="O148" s="2" t="inlineStr">
        <is>
          <t xml:space="preserve"/>
        </is>
      </c>
      <c r="P148" s="2" t="inlineStr">
        <is>
          <t xml:space="preserve">docs/features/SOD.md; frontend/tests/sod-catalogue.spec.ts</t>
        </is>
      </c>
      <c r="Q148" s="2" t="inlineStr">
        <is>
          <t xml:space="preserve">Not assessed</t>
        </is>
      </c>
      <c r="R148" s="2" t="inlineStr">
        <is>
          <t xml:space="preserve">Unclassified</t>
        </is>
      </c>
      <c r="S148" s="2" t="inlineStr">
        <is>
          <t xml:space="preserve">Not started</t>
        </is>
      </c>
    </row>
    <row r="149">
      <c r="A149" s="2" t="inlineStr">
        <is>
          <t xml:space="preserve">SET-012</t>
        </is>
      </c>
      <c r="B149" s="2" t="inlineStr">
        <is>
          <t xml:space="preserve">SoD Risk Configuration</t>
        </is>
      </c>
      <c r="C149" s="2" t="inlineStr">
        <is>
          <t xml:space="preserve">SoD Risk Configuration, Risks › New badge beside the Risk ID</t>
        </is>
      </c>
      <c r="D149" s="2" t="inlineStr">
        <is>
          <t xml:space="preserve">A compact amber New badge sits beside the Risk ID of a new risk; it is no longer shown under Review.</t>
        </is>
      </c>
      <c r="E149" s="2" t="inlineStr">
        <is>
          <t xml:space="preserve">Not set</t>
        </is>
      </c>
      <c r="F149" s="2" t="inlineStr">
        <is>
          <t xml:space="preserve">Not tested</t>
        </is>
      </c>
      <c r="G149" s="2" t="inlineStr">
        <is>
          <t xml:space="preserve">Pending</t>
        </is>
      </c>
      <c r="H149" s="2" t="inlineStr">
        <is>
          <t xml:space="preserve">frontend/tests/sod-risk-config-r6.spec.ts</t>
        </is>
      </c>
      <c r="I149" s="2" t="inlineStr">
        <is>
          <t xml:space="preserve"/>
        </is>
      </c>
      <c r="J149" s="2" t="inlineStr">
        <is>
          <t xml:space="preserve"/>
        </is>
      </c>
      <c r="K149" s="2" t="inlineStr">
        <is>
          <t xml:space="preserve"/>
        </is>
      </c>
      <c r="L149" s="2" t="inlineStr">
        <is>
          <t xml:space="preserve"/>
        </is>
      </c>
      <c r="M149" s="2" t="inlineStr">
        <is>
          <t xml:space="preserve"/>
        </is>
      </c>
      <c r="N149" s="2" t="inlineStr">
        <is>
          <t xml:space="preserve">Check that the amber badge is compact and clearly distinct in light and dark.</t>
        </is>
      </c>
      <c r="O149" s="2" t="inlineStr">
        <is>
          <t xml:space="preserve">None known.</t>
        </is>
      </c>
      <c r="P149" s="2" t="inlineStr">
        <is>
          <t xml:space="preserve">frontend/src/components/Settings/SodRiskSettings.tsx</t>
        </is>
      </c>
      <c r="Q149" s="2" t="inlineStr">
        <is>
          <t xml:space="preserve">Implemented</t>
        </is>
      </c>
      <c r="R149" s="2" t="inlineStr">
        <is>
          <t xml:space="preserve">Unclassified</t>
        </is>
      </c>
      <c r="S149" s="2" t="inlineStr">
        <is>
          <t xml:space="preserve">Not started</t>
        </is>
      </c>
    </row>
    <row r="150">
      <c r="A150" s="2" t="inlineStr">
        <is>
          <t xml:space="preserve">SET-013</t>
        </is>
      </c>
      <c r="B150" s="2" t="inlineStr">
        <is>
          <t xml:space="preserve">SoD Risk Configuration</t>
        </is>
      </c>
      <c r="C150" s="2" t="inlineStr">
        <is>
          <t xml:space="preserve">SoD Risk Configuration, Risks › No coloured rows; consecutive new risks separated</t>
        </is>
      </c>
      <c r="D150" s="2" t="inlineStr">
        <is>
          <t xml:space="preserve">Rows keep the normal background; consecutive new risks stay distinguishable through row separators and spacing.</t>
        </is>
      </c>
      <c r="E150" s="2" t="inlineStr">
        <is>
          <t xml:space="preserve">Not set</t>
        </is>
      </c>
      <c r="F150" s="2" t="inlineStr">
        <is>
          <t xml:space="preserve">Not tested</t>
        </is>
      </c>
      <c r="G150" s="2" t="inlineStr">
        <is>
          <t xml:space="preserve">Pending</t>
        </is>
      </c>
      <c r="H150" s="2" t="inlineStr">
        <is>
          <t xml:space="preserve">frontend/tests/sod-risk-config-r6.spec.ts</t>
        </is>
      </c>
      <c r="I150" s="2" t="inlineStr">
        <is>
          <t xml:space="preserve"/>
        </is>
      </c>
      <c r="J150" s="2" t="inlineStr">
        <is>
          <t xml:space="preserve"/>
        </is>
      </c>
      <c r="K150" s="2" t="inlineStr">
        <is>
          <t xml:space="preserve"/>
        </is>
      </c>
      <c r="L150" s="2" t="inlineStr">
        <is>
          <t xml:space="preserve"/>
        </is>
      </c>
      <c r="M150" s="2" t="inlineStr">
        <is>
          <t xml:space="preserve"/>
        </is>
      </c>
      <c r="N150" s="2" t="inlineStr">
        <is>
          <t xml:space="preserve">Judge readability of several consecutive new risks.</t>
        </is>
      </c>
      <c r="O150" s="2" t="inlineStr">
        <is>
          <t xml:space="preserve">None known.</t>
        </is>
      </c>
      <c r="P150" s="2" t="inlineStr">
        <is>
          <t xml:space="preserve">frontend/src/components/Settings/SodRiskSettings.tsx; frontend/src/styles/components.css</t>
        </is>
      </c>
      <c r="Q150" s="2" t="inlineStr">
        <is>
          <t xml:space="preserve">Implemented</t>
        </is>
      </c>
      <c r="R150" s="2" t="inlineStr">
        <is>
          <t xml:space="preserve">Unclassified</t>
        </is>
      </c>
      <c r="S150" s="2" t="inlineStr">
        <is>
          <t xml:space="preserve">Not started</t>
        </is>
      </c>
    </row>
    <row r="151">
      <c r="A151" s="2" t="inlineStr">
        <is>
          <t xml:space="preserve">SET-014</t>
        </is>
      </c>
      <c r="B151" s="2" t="inlineStr">
        <is>
          <t xml:space="preserve">SoD Risk Configuration</t>
        </is>
      </c>
      <c r="C151" s="2" t="inlineStr">
        <is>
          <t xml:space="preserve">SoD Risk Configuration, Risks › Enabled and Disabled icons</t>
        </is>
      </c>
      <c r="D151" s="2" t="inlineStr">
        <is>
          <t xml:space="preserve">Enabled and Disabled carry Lucide icons through the shared EnabledBadge.</t>
        </is>
      </c>
      <c r="E151" s="2" t="inlineStr">
        <is>
          <t xml:space="preserve">Not set</t>
        </is>
      </c>
      <c r="F151" s="2" t="inlineStr">
        <is>
          <t xml:space="preserve">Not tested</t>
        </is>
      </c>
      <c r="G151" s="2" t="inlineStr">
        <is>
          <t xml:space="preserve">Pending</t>
        </is>
      </c>
      <c r="H151" s="2" t="inlineStr">
        <is>
          <t xml:space="preserve">frontend/tests/sod-risk-config-r6.spec.ts; frontend/tests/status-consistency-r6.spec.ts</t>
        </is>
      </c>
      <c r="I151" s="2" t="inlineStr">
        <is>
          <t xml:space="preserve"/>
        </is>
      </c>
      <c r="J151" s="2" t="inlineStr">
        <is>
          <t xml:space="preserve"/>
        </is>
      </c>
      <c r="K151" s="2" t="inlineStr">
        <is>
          <t xml:space="preserve"/>
        </is>
      </c>
      <c r="L151" s="2" t="inlineStr">
        <is>
          <t xml:space="preserve"/>
        </is>
      </c>
      <c r="M151" s="2" t="inlineStr">
        <is>
          <t xml:space="preserve"/>
        </is>
      </c>
      <c r="N151" s="2" t="inlineStr">
        <is>
          <t xml:space="preserve">Confirm the icons read well at small size.</t>
        </is>
      </c>
      <c r="O151" s="2" t="inlineStr">
        <is>
          <t xml:space="preserve">None known.</t>
        </is>
      </c>
      <c r="P151" s="2" t="inlineStr">
        <is>
          <t xml:space="preserve">frontend/src/components/Shared/StatusBadges.tsx</t>
        </is>
      </c>
      <c r="Q151" s="2" t="inlineStr">
        <is>
          <t xml:space="preserve">Implemented</t>
        </is>
      </c>
      <c r="R151" s="2" t="inlineStr">
        <is>
          <t xml:space="preserve">Unclassified</t>
        </is>
      </c>
      <c r="S151" s="2" t="inlineStr">
        <is>
          <t xml:space="preserve">Not started</t>
        </is>
      </c>
    </row>
    <row r="152">
      <c r="A152" s="2" t="inlineStr">
        <is>
          <t xml:space="preserve">SET-015</t>
        </is>
      </c>
      <c r="B152" s="2" t="inlineStr">
        <is>
          <t xml:space="preserve">SoD Risk Configuration</t>
        </is>
      </c>
      <c r="C152" s="2" t="inlineStr">
        <is>
          <t xml:space="preserve">SoD Risk Configuration, Risks › Source details not repeated per row</t>
        </is>
      </c>
      <c r="D152" s="2" t="inlineStr">
        <is>
          <t xml:space="preserve">The Risks table has no per-row Source details; imported source evidence stays reachable from the Edit dialog.</t>
        </is>
      </c>
      <c r="E152" s="2" t="inlineStr">
        <is>
          <t xml:space="preserve">Not set</t>
        </is>
      </c>
      <c r="F152" s="2" t="inlineStr">
        <is>
          <t xml:space="preserve">Not tested</t>
        </is>
      </c>
      <c r="G152" s="2" t="inlineStr">
        <is>
          <t xml:space="preserve">Pending</t>
        </is>
      </c>
      <c r="H152" s="2" t="inlineStr">
        <is>
          <t xml:space="preserve">frontend/tests/sod-risk-config-r6.spec.ts; frontend/tests/sod-catalogue.spec.ts; frontend/tests/navigation-r3.spec.ts</t>
        </is>
      </c>
      <c r="I152" s="2" t="inlineStr">
        <is>
          <t xml:space="preserve"/>
        </is>
      </c>
      <c r="J152" s="2" t="inlineStr">
        <is>
          <t xml:space="preserve"/>
        </is>
      </c>
      <c r="K152" s="2" t="inlineStr">
        <is>
          <t xml:space="preserve"/>
        </is>
      </c>
      <c r="L152" s="2" t="inlineStr">
        <is>
          <t xml:space="preserve"/>
        </is>
      </c>
      <c r="M152" s="2" t="inlineStr">
        <is>
          <t xml:space="preserve"/>
        </is>
      </c>
      <c r="N152" s="2" t="inlineStr">
        <is>
          <t xml:space="preserve">Open Edit on a risk and confirm the source evidence is easy to find.</t>
        </is>
      </c>
      <c r="O152" s="2" t="inlineStr">
        <is>
          <t xml:space="preserve">Activities still reach risk details through their risk pills.</t>
        </is>
      </c>
      <c r="P152" s="2" t="inlineStr">
        <is>
          <t xml:space="preserve">frontend/src/components/Settings/SodRiskSettings.tsx</t>
        </is>
      </c>
      <c r="Q152" s="2" t="inlineStr">
        <is>
          <t xml:space="preserve">Implemented</t>
        </is>
      </c>
      <c r="R152" s="2" t="inlineStr">
        <is>
          <t xml:space="preserve">Unclassified</t>
        </is>
      </c>
      <c r="S152" s="2" t="inlineStr">
        <is>
          <t xml:space="preserve">Not started</t>
        </is>
      </c>
    </row>
    <row r="153">
      <c r="A153" s="2" t="inlineStr">
        <is>
          <t xml:space="preserve">SET-016</t>
        </is>
      </c>
      <c r="B153" s="2" t="inlineStr">
        <is>
          <t xml:space="preserve">SoD Risk Configuration</t>
        </is>
      </c>
      <c r="C153" s="2" t="inlineStr">
        <is>
          <t xml:space="preserve">SoD Risk Configuration, Activities › Activities table harmonized with Risks</t>
        </is>
      </c>
      <c r="D153" s="2" t="inlineStr">
        <is>
          <t xml:space="preserve">Activities share the Risks row rhythm (alignment, separators, minimum row height, compact buttons) and keep their risk pills and transactions button.</t>
        </is>
      </c>
      <c r="E153" s="2" t="inlineStr">
        <is>
          <t xml:space="preserve">Not set</t>
        </is>
      </c>
      <c r="F153" s="2" t="inlineStr">
        <is>
          <t xml:space="preserve">Not tested</t>
        </is>
      </c>
      <c r="G153" s="2" t="inlineStr">
        <is>
          <t xml:space="preserve">Pending</t>
        </is>
      </c>
      <c r="H153" s="2" t="inlineStr">
        <is>
          <t xml:space="preserve">frontend/tests/sod-risk-config-r6.spec.ts</t>
        </is>
      </c>
      <c r="I153" s="2" t="inlineStr">
        <is>
          <t xml:space="preserve"/>
        </is>
      </c>
      <c r="J153" s="2" t="inlineStr">
        <is>
          <t xml:space="preserve"/>
        </is>
      </c>
      <c r="K153" s="2" t="inlineStr">
        <is>
          <t xml:space="preserve"/>
        </is>
      </c>
      <c r="L153" s="2" t="inlineStr">
        <is>
          <t xml:space="preserve"/>
        </is>
      </c>
      <c r="M153" s="2" t="inlineStr">
        <is>
          <t xml:space="preserve"/>
        </is>
      </c>
      <c r="N153" s="2" t="inlineStr">
        <is>
          <t xml:space="preserve">Compare the two tables side by side in both themes.</t>
        </is>
      </c>
      <c r="O153" s="2" t="inlineStr">
        <is>
          <t xml:space="preserve">Row heights still differ with content (risk rows have a third line).</t>
        </is>
      </c>
      <c r="P153" s="2" t="inlineStr">
        <is>
          <t xml:space="preserve">frontend/src/components/Settings/SodRiskSettings.tsx; frontend/src/styles/components.css</t>
        </is>
      </c>
      <c r="Q153" s="2" t="inlineStr">
        <is>
          <t xml:space="preserve">Implemented</t>
        </is>
      </c>
      <c r="R153" s="2" t="inlineStr">
        <is>
          <t xml:space="preserve">Unclassified</t>
        </is>
      </c>
      <c r="S153" s="2" t="inlineStr">
        <is>
          <t xml:space="preserve">Not started</t>
        </is>
      </c>
    </row>
    <row r="154">
      <c r="A154" s="2" t="inlineStr">
        <is>
          <t xml:space="preserve">UI-001</t>
        </is>
      </c>
      <c r="B154" s="2" t="inlineStr">
        <is>
          <t xml:space="preserve">Component Library</t>
        </is>
      </c>
      <c r="C154" s="2" t="inlineStr">
        <is>
          <t xml:space="preserve">Header and navigation › Main navigation</t>
        </is>
      </c>
      <c r="D154" s="2" t="inlineStr">
        <is>
          <t xml:space="preserve">The module link opens the module page; the chevron opens a submenu that overlays the page without scrollbars, navbar resizing or left borders, with Escape and outside-click closing.</t>
        </is>
      </c>
      <c r="E154" s="2" t="inlineStr">
        <is>
          <t xml:space="preserve">Not set</t>
        </is>
      </c>
      <c r="F154" s="2" t="inlineStr">
        <is>
          <t xml:space="preserve">Not tested</t>
        </is>
      </c>
      <c r="G154" s="2" t="inlineStr">
        <is>
          <t xml:space="preserve">Pending</t>
        </is>
      </c>
      <c r="H154" s="2" t="inlineStr">
        <is>
          <t xml:space="preserve"/>
        </is>
      </c>
      <c r="I154" s="2" t="inlineStr">
        <is>
          <t xml:space="preserve"/>
        </is>
      </c>
      <c r="J154" s="2" t="inlineStr">
        <is>
          <t xml:space="preserve"/>
        </is>
      </c>
      <c r="K154" s="2" t="inlineStr">
        <is>
          <t xml:space="preserve"/>
        </is>
      </c>
      <c r="L154" s="2" t="inlineStr">
        <is>
          <t xml:space="preserve"/>
        </is>
      </c>
      <c r="M154" s="2" t="inlineStr">
        <is>
          <t xml:space="preserve"/>
        </is>
      </c>
      <c r="N154" s="2" t="inlineStr">
        <is>
          <t xml:space="preserve"/>
        </is>
      </c>
      <c r="O154" s="2" t="inlineStr">
        <is>
          <t xml:space="preserve"/>
        </is>
      </c>
      <c r="P154" s="2" t="inlineStr">
        <is>
          <t xml:space="preserve">docs/architecture/NAVIGATION.md; frontend/tests/navigation-r3.spec.ts, frontend/tests/global-navigation.spec.ts</t>
        </is>
      </c>
      <c r="Q154" s="2" t="inlineStr">
        <is>
          <t xml:space="preserve">Not assessed</t>
        </is>
      </c>
      <c r="R154" s="2" t="inlineStr">
        <is>
          <t xml:space="preserve">Unclassified</t>
        </is>
      </c>
      <c r="S154" s="2" t="inlineStr">
        <is>
          <t xml:space="preserve">Not started</t>
        </is>
      </c>
    </row>
    <row r="155">
      <c r="A155" s="2" t="inlineStr">
        <is>
          <t xml:space="preserve">UI-002</t>
        </is>
      </c>
      <c r="B155" s="2" t="inlineStr">
        <is>
          <t xml:space="preserve">Component Library</t>
        </is>
      </c>
      <c r="C155" s="2" t="inlineStr">
        <is>
          <t xml:space="preserve">Header and navigation › Theme toggle and branding</t>
        </is>
      </c>
      <c r="D155" s="2" t="inlineStr">
        <is>
          <t xml:space="preserve">Light and dark themes apply immediately, persist, keep contrast and show the configured organization branding.</t>
        </is>
      </c>
      <c r="E155" s="2" t="inlineStr">
        <is>
          <t xml:space="preserve">Not set</t>
        </is>
      </c>
      <c r="F155" s="2" t="inlineStr">
        <is>
          <t xml:space="preserve">Not tested</t>
        </is>
      </c>
      <c r="G155" s="2" t="inlineStr">
        <is>
          <t xml:space="preserve">Pending</t>
        </is>
      </c>
      <c r="H155" s="2" t="inlineStr">
        <is>
          <t xml:space="preserve"/>
        </is>
      </c>
      <c r="I155" s="2" t="inlineStr">
        <is>
          <t xml:space="preserve"/>
        </is>
      </c>
      <c r="J155" s="2" t="inlineStr">
        <is>
          <t xml:space="preserve"/>
        </is>
      </c>
      <c r="K155" s="2" t="inlineStr">
        <is>
          <t xml:space="preserve"/>
        </is>
      </c>
      <c r="L155" s="2" t="inlineStr">
        <is>
          <t xml:space="preserve"/>
        </is>
      </c>
      <c r="M155" s="2" t="inlineStr">
        <is>
          <t xml:space="preserve"/>
        </is>
      </c>
      <c r="N155" s="2" t="inlineStr">
        <is>
          <t xml:space="preserve"/>
        </is>
      </c>
      <c r="O155" s="2" t="inlineStr">
        <is>
          <t xml:space="preserve"/>
        </is>
      </c>
      <c r="P155" s="2" t="inlineStr">
        <is>
          <t xml:space="preserve">docs/architecture/APPEARANCE.md; frontend/tests/settings-runtime-theme.spec.ts</t>
        </is>
      </c>
      <c r="Q155" s="2" t="inlineStr">
        <is>
          <t xml:space="preserve">Not assessed</t>
        </is>
      </c>
      <c r="R155" s="2" t="inlineStr">
        <is>
          <t xml:space="preserve">Unclassified</t>
        </is>
      </c>
      <c r="S155" s="2" t="inlineStr">
        <is>
          <t xml:space="preserve">Not started</t>
        </is>
      </c>
    </row>
    <row r="156">
      <c r="A156" s="2" t="inlineStr">
        <is>
          <t xml:space="preserve">UI-003</t>
        </is>
      </c>
      <c r="B156" s="2" t="inlineStr">
        <is>
          <t xml:space="preserve">Component Library</t>
        </is>
      </c>
      <c r="C156" s="2" t="inlineStr">
        <is>
          <t xml:space="preserve">Filters › Filter sidebar</t>
        </is>
      </c>
      <c r="D156" s="2" t="inlineStr">
        <is>
          <t xml:space="preserve">Search, grouped filters, Saved Filters, one Clear action and an active count behave the same on every filtered page.</t>
        </is>
      </c>
      <c r="E156" s="2" t="inlineStr">
        <is>
          <t xml:space="preserve">Not set</t>
        </is>
      </c>
      <c r="F156" s="2" t="inlineStr">
        <is>
          <t xml:space="preserve">Not tested</t>
        </is>
      </c>
      <c r="G156" s="2" t="inlineStr">
        <is>
          <t xml:space="preserve">Pending</t>
        </is>
      </c>
      <c r="H156" s="2" t="inlineStr">
        <is>
          <t xml:space="preserve"/>
        </is>
      </c>
      <c r="I156" s="2" t="inlineStr">
        <is>
          <t xml:space="preserve"/>
        </is>
      </c>
      <c r="J156" s="2" t="inlineStr">
        <is>
          <t xml:space="preserve"/>
        </is>
      </c>
      <c r="K156" s="2" t="inlineStr">
        <is>
          <t xml:space="preserve"/>
        </is>
      </c>
      <c r="L156" s="2" t="inlineStr">
        <is>
          <t xml:space="preserve"/>
        </is>
      </c>
      <c r="M156" s="2" t="inlineStr">
        <is>
          <t xml:space="preserve"/>
        </is>
      </c>
      <c r="N156" s="2" t="inlineStr">
        <is>
          <t xml:space="preserve"/>
        </is>
      </c>
      <c r="O156" s="2" t="inlineStr">
        <is>
          <t xml:space="preserve"/>
        </is>
      </c>
      <c r="P156" s="2" t="inlineStr">
        <is>
          <t xml:space="preserve">docs/features/FILTERS.md; frontend/tests/consolidated-refinement.spec.ts</t>
        </is>
      </c>
      <c r="Q156" s="2" t="inlineStr">
        <is>
          <t xml:space="preserve">Not assessed</t>
        </is>
      </c>
      <c r="R156" s="2" t="inlineStr">
        <is>
          <t xml:space="preserve">Unclassified</t>
        </is>
      </c>
      <c r="S156" s="2" t="inlineStr">
        <is>
          <t xml:space="preserve">Not started</t>
        </is>
      </c>
    </row>
    <row r="157">
      <c r="A157" s="2" t="inlineStr">
        <is>
          <t xml:space="preserve">UI-004</t>
        </is>
      </c>
      <c r="B157" s="2" t="inlineStr">
        <is>
          <t xml:space="preserve">Component Library</t>
        </is>
      </c>
      <c r="C157" s="2" t="inlineStr">
        <is>
          <t xml:space="preserve">Filters › Multi-select filter</t>
        </is>
      </c>
      <c r="D157" s="2" t="inlineStr">
        <is>
          <t xml:space="preserve">The list stays open while values toggle, search keeps selections, Select all acts on the visible matches, Clear works, OR within a filter and AND across filters.</t>
        </is>
      </c>
      <c r="E157" s="2" t="inlineStr">
        <is>
          <t xml:space="preserve">Not set</t>
        </is>
      </c>
      <c r="F157" s="2" t="inlineStr">
        <is>
          <t xml:space="preserve">Not tested</t>
        </is>
      </c>
      <c r="G157" s="2" t="inlineStr">
        <is>
          <t xml:space="preserve">Pending</t>
        </is>
      </c>
      <c r="H157" s="2" t="inlineStr">
        <is>
          <t xml:space="preserve"/>
        </is>
      </c>
      <c r="I157" s="2" t="inlineStr">
        <is>
          <t xml:space="preserve"/>
        </is>
      </c>
      <c r="J157" s="2" t="inlineStr">
        <is>
          <t xml:space="preserve"/>
        </is>
      </c>
      <c r="K157" s="2" t="inlineStr">
        <is>
          <t xml:space="preserve"/>
        </is>
      </c>
      <c r="L157" s="2" t="inlineStr">
        <is>
          <t xml:space="preserve"/>
        </is>
      </c>
      <c r="M157" s="2" t="inlineStr">
        <is>
          <t xml:space="preserve"/>
        </is>
      </c>
      <c r="N157" s="2" t="inlineStr">
        <is>
          <t xml:space="preserve"/>
        </is>
      </c>
      <c r="O157" s="2" t="inlineStr">
        <is>
          <t xml:space="preserve"/>
        </is>
      </c>
      <c r="P157" s="2" t="inlineStr">
        <is>
          <t xml:space="preserve">docs/features/FILTERS.md; frontend/tests/sod-bulk-review.spec.ts</t>
        </is>
      </c>
      <c r="Q157" s="2" t="inlineStr">
        <is>
          <t xml:space="preserve">Not assessed</t>
        </is>
      </c>
      <c r="R157" s="2" t="inlineStr">
        <is>
          <t xml:space="preserve">Unclassified</t>
        </is>
      </c>
      <c r="S157" s="2" t="inlineStr">
        <is>
          <t xml:space="preserve">Not started</t>
        </is>
      </c>
    </row>
    <row r="158">
      <c r="A158" s="2" t="inlineStr">
        <is>
          <t xml:space="preserve">UI-005</t>
        </is>
      </c>
      <c r="B158" s="2" t="inlineStr">
        <is>
          <t xml:space="preserve">Component Library</t>
        </is>
      </c>
      <c r="C158" s="2" t="inlineStr">
        <is>
          <t xml:space="preserve">Components › Codeblocks</t>
        </is>
      </c>
      <c r="D158" s="2" t="inlineStr">
        <is>
          <t xml:space="preserve">SAP identifiers always show the complete name on one line (no wrapping, scrolling, truncation or ellipsis), copy the exact value and keep the copy icon beside the name in cards, dialogs, sidebars and tables; narrow layouts scale the font (not below 9 px) or adapt instead.</t>
        </is>
      </c>
      <c r="E158" s="2" t="inlineStr">
        <is>
          <t xml:space="preserve">Not set</t>
        </is>
      </c>
      <c r="F158" s="2" t="inlineStr">
        <is>
          <t xml:space="preserve">Not tested</t>
        </is>
      </c>
      <c r="G158" s="2" t="inlineStr">
        <is>
          <t xml:space="preserve">Pending</t>
        </is>
      </c>
      <c r="H158" s="2" t="inlineStr">
        <is>
          <t xml:space="preserve"/>
        </is>
      </c>
      <c r="I158" s="2" t="inlineStr">
        <is>
          <t xml:space="preserve"/>
        </is>
      </c>
      <c r="J158" s="2" t="inlineStr">
        <is>
          <t xml:space="preserve"/>
        </is>
      </c>
      <c r="K158" s="2" t="inlineStr">
        <is>
          <t xml:space="preserve"/>
        </is>
      </c>
      <c r="L158" s="2" t="inlineStr">
        <is>
          <t xml:space="preserve"/>
        </is>
      </c>
      <c r="M158" s="2" t="inlineStr">
        <is>
          <t xml:space="preserve"/>
        </is>
      </c>
      <c r="N158" s="2" t="inlineStr">
        <is>
          <t xml:space="preserve"/>
        </is>
      </c>
      <c r="O158" s="2" t="inlineStr">
        <is>
          <t xml:space="preserve"/>
        </is>
      </c>
      <c r="P158" s="2" t="inlineStr">
        <is>
          <t xml:space="preserve">docs/architecture/DESIGN_SYSTEM.md; frontend/tests/role-codeblocks.spec.ts, frontend/tests/refinement-r2.spec.ts, frontend/tests/access-package-r2.spec.ts</t>
        </is>
      </c>
      <c r="Q158" s="2" t="inlineStr">
        <is>
          <t xml:space="preserve">Not assessed</t>
        </is>
      </c>
      <c r="R158" s="2" t="inlineStr">
        <is>
          <t xml:space="preserve">Unclassified</t>
        </is>
      </c>
      <c r="S158" s="2" t="inlineStr">
        <is>
          <t xml:space="preserve">Not started</t>
        </is>
      </c>
    </row>
    <row r="159">
      <c r="A159" s="2" t="inlineStr">
        <is>
          <t xml:space="preserve">UI-006</t>
        </is>
      </c>
      <c r="B159" s="2" t="inlineStr">
        <is>
          <t xml:space="preserve">Component Library</t>
        </is>
      </c>
      <c r="C159" s="2" t="inlineStr">
        <is>
          <t xml:space="preserve">Components › Buttons and icons</t>
        </is>
      </c>
      <c r="D159" s="2" t="inlineStr">
        <is>
          <t xml:space="preserve">Actions use the shared Button with consistent sizes, icons, hover, pressed and focus states.</t>
        </is>
      </c>
      <c r="E159" s="2" t="inlineStr">
        <is>
          <t xml:space="preserve">Not set</t>
        </is>
      </c>
      <c r="F159" s="2" t="inlineStr">
        <is>
          <t xml:space="preserve">Not tested</t>
        </is>
      </c>
      <c r="G159" s="2" t="inlineStr">
        <is>
          <t xml:space="preserve">Pending</t>
        </is>
      </c>
      <c r="H159" s="2" t="inlineStr">
        <is>
          <t xml:space="preserve"/>
        </is>
      </c>
      <c r="I159" s="2" t="inlineStr">
        <is>
          <t xml:space="preserve"/>
        </is>
      </c>
      <c r="J159" s="2" t="inlineStr">
        <is>
          <t xml:space="preserve"/>
        </is>
      </c>
      <c r="K159" s="2" t="inlineStr">
        <is>
          <t xml:space="preserve"/>
        </is>
      </c>
      <c r="L159" s="2" t="inlineStr">
        <is>
          <t xml:space="preserve"/>
        </is>
      </c>
      <c r="M159" s="2" t="inlineStr">
        <is>
          <t xml:space="preserve"/>
        </is>
      </c>
      <c r="N159" s="2" t="inlineStr">
        <is>
          <t xml:space="preserve"/>
        </is>
      </c>
      <c r="O159" s="2" t="inlineStr">
        <is>
          <t xml:space="preserve"/>
        </is>
      </c>
      <c r="P159" s="2" t="inlineStr">
        <is>
          <t xml:space="preserve">docs/architecture/COMPONENTS.md; frontend/tests/ui-polish-actions.spec.ts</t>
        </is>
      </c>
      <c r="Q159" s="2" t="inlineStr">
        <is>
          <t xml:space="preserve">Not assessed</t>
        </is>
      </c>
      <c r="R159" s="2" t="inlineStr">
        <is>
          <t xml:space="preserve">Unclassified</t>
        </is>
      </c>
      <c r="S159" s="2" t="inlineStr">
        <is>
          <t xml:space="preserve">Not started</t>
        </is>
      </c>
    </row>
    <row r="160">
      <c r="A160" s="2" t="inlineStr">
        <is>
          <t xml:space="preserve">UI-007</t>
        </is>
      </c>
      <c r="B160" s="2" t="inlineStr">
        <is>
          <t xml:space="preserve">Component Library</t>
        </is>
      </c>
      <c r="C160" s="2" t="inlineStr">
        <is>
          <t xml:space="preserve">Components › Pills and badges</t>
        </is>
      </c>
      <c r="D160" s="2" t="inlineStr">
        <is>
          <t xml:space="preserve">Status, criticality, type, Dynamic and review pills have distinct semantic tones and consistent padding and icons.</t>
        </is>
      </c>
      <c r="E160" s="2" t="inlineStr">
        <is>
          <t xml:space="preserve">Not set</t>
        </is>
      </c>
      <c r="F160" s="2" t="inlineStr">
        <is>
          <t xml:space="preserve">Not tested</t>
        </is>
      </c>
      <c r="G160" s="2" t="inlineStr">
        <is>
          <t xml:space="preserve">Pending</t>
        </is>
      </c>
      <c r="H160" s="2" t="inlineStr">
        <is>
          <t xml:space="preserve"/>
        </is>
      </c>
      <c r="I160" s="2" t="inlineStr">
        <is>
          <t xml:space="preserve"/>
        </is>
      </c>
      <c r="J160" s="2" t="inlineStr">
        <is>
          <t xml:space="preserve"/>
        </is>
      </c>
      <c r="K160" s="2" t="inlineStr">
        <is>
          <t xml:space="preserve"/>
        </is>
      </c>
      <c r="L160" s="2" t="inlineStr">
        <is>
          <t xml:space="preserve"/>
        </is>
      </c>
      <c r="M160" s="2" t="inlineStr">
        <is>
          <t xml:space="preserve"/>
        </is>
      </c>
      <c r="N160" s="2" t="inlineStr">
        <is>
          <t xml:space="preserve"/>
        </is>
      </c>
      <c r="O160" s="2" t="inlineStr">
        <is>
          <t xml:space="preserve"/>
        </is>
      </c>
      <c r="P160" s="2" t="inlineStr">
        <is>
          <t xml:space="preserve">docs/architecture/DESIGN_SYSTEM.md; frontend/tests/ui-consistency.spec.ts</t>
        </is>
      </c>
      <c r="Q160" s="2" t="inlineStr">
        <is>
          <t xml:space="preserve">Not assessed</t>
        </is>
      </c>
      <c r="R160" s="2" t="inlineStr">
        <is>
          <t xml:space="preserve">Unclassified</t>
        </is>
      </c>
      <c r="S160" s="2" t="inlineStr">
        <is>
          <t xml:space="preserve">Not started</t>
        </is>
      </c>
    </row>
    <row r="161">
      <c r="A161" s="2" t="inlineStr">
        <is>
          <t xml:space="preserve">UI-008</t>
        </is>
      </c>
      <c r="B161" s="2" t="inlineStr">
        <is>
          <t xml:space="preserve">Component Library</t>
        </is>
      </c>
      <c r="C161" s="2" t="inlineStr">
        <is>
          <t xml:space="preserve">Components › Progress bars</t>
        </is>
      </c>
      <c r="D161" s="2" t="inlineStr">
        <is>
          <t xml:space="preserve">Progress bars are always visible (also at 0%), carry the numeric value as text and use semantic tones.</t>
        </is>
      </c>
      <c r="E161" s="2" t="inlineStr">
        <is>
          <t xml:space="preserve">Not set</t>
        </is>
      </c>
      <c r="F161" s="2" t="inlineStr">
        <is>
          <t xml:space="preserve">Not tested</t>
        </is>
      </c>
      <c r="G161" s="2" t="inlineStr">
        <is>
          <t xml:space="preserve">Pending</t>
        </is>
      </c>
      <c r="H161" s="2" t="inlineStr">
        <is>
          <t xml:space="preserve"/>
        </is>
      </c>
      <c r="I161" s="2" t="inlineStr">
        <is>
          <t xml:space="preserve"/>
        </is>
      </c>
      <c r="J161" s="2" t="inlineStr">
        <is>
          <t xml:space="preserve"/>
        </is>
      </c>
      <c r="K161" s="2" t="inlineStr">
        <is>
          <t xml:space="preserve"/>
        </is>
      </c>
      <c r="L161" s="2" t="inlineStr">
        <is>
          <t xml:space="preserve"/>
        </is>
      </c>
      <c r="M161" s="2" t="inlineStr">
        <is>
          <t xml:space="preserve"/>
        </is>
      </c>
      <c r="N161" s="2" t="inlineStr">
        <is>
          <t xml:space="preserve"/>
        </is>
      </c>
      <c r="O161" s="2" t="inlineStr">
        <is>
          <t xml:space="preserve"/>
        </is>
      </c>
      <c r="P161" s="2" t="inlineStr">
        <is>
          <t xml:space="preserve">docs/architecture/DESIGN_SYSTEM.md; frontend/tests/refinement-search-layout.spec.ts</t>
        </is>
      </c>
      <c r="Q161" s="2" t="inlineStr">
        <is>
          <t xml:space="preserve">Not assessed</t>
        </is>
      </c>
      <c r="R161" s="2" t="inlineStr">
        <is>
          <t xml:space="preserve">Unclassified</t>
        </is>
      </c>
      <c r="S161" s="2" t="inlineStr">
        <is>
          <t xml:space="preserve">Not started</t>
        </is>
      </c>
    </row>
    <row r="162">
      <c r="A162" s="2" t="inlineStr">
        <is>
          <t xml:space="preserve">UI-009</t>
        </is>
      </c>
      <c r="B162" s="2" t="inlineStr">
        <is>
          <t xml:space="preserve">Component Library</t>
        </is>
      </c>
      <c r="C162" s="2" t="inlineStr">
        <is>
          <t xml:space="preserve">Components › Tables</t>
        </is>
      </c>
      <c r="D162" s="2" t="inlineStr">
        <is>
          <t xml:space="preserve">Tables have sticky headers where long, clear hover and selected states, empty states and no clipped content.</t>
        </is>
      </c>
      <c r="E162" s="2" t="inlineStr">
        <is>
          <t xml:space="preserve">Not set</t>
        </is>
      </c>
      <c r="F162" s="2" t="inlineStr">
        <is>
          <t xml:space="preserve">Not tested</t>
        </is>
      </c>
      <c r="G162" s="2" t="inlineStr">
        <is>
          <t xml:space="preserve">Pending</t>
        </is>
      </c>
      <c r="H162" s="2" t="inlineStr">
        <is>
          <t xml:space="preserve"/>
        </is>
      </c>
      <c r="I162" s="2" t="inlineStr">
        <is>
          <t xml:space="preserve"/>
        </is>
      </c>
      <c r="J162" s="2" t="inlineStr">
        <is>
          <t xml:space="preserve"/>
        </is>
      </c>
      <c r="K162" s="2" t="inlineStr">
        <is>
          <t xml:space="preserve"/>
        </is>
      </c>
      <c r="L162" s="2" t="inlineStr">
        <is>
          <t xml:space="preserve"/>
        </is>
      </c>
      <c r="M162" s="2" t="inlineStr">
        <is>
          <t xml:space="preserve"/>
        </is>
      </c>
      <c r="N162" s="2" t="inlineStr">
        <is>
          <t xml:space="preserve"/>
        </is>
      </c>
      <c r="O162" s="2" t="inlineStr">
        <is>
          <t xml:space="preserve"/>
        </is>
      </c>
      <c r="P162" s="2" t="inlineStr">
        <is>
          <t xml:space="preserve">docs/architecture/COMPONENTS.md; frontend/tests/design-system.spec.ts</t>
        </is>
      </c>
      <c r="Q162" s="2" t="inlineStr">
        <is>
          <t xml:space="preserve">Not assessed</t>
        </is>
      </c>
      <c r="R162" s="2" t="inlineStr">
        <is>
          <t xml:space="preserve">Unclassified</t>
        </is>
      </c>
      <c r="S162" s="2" t="inlineStr">
        <is>
          <t xml:space="preserve">Not started</t>
        </is>
      </c>
    </row>
    <row r="163">
      <c r="A163" s="2" t="inlineStr">
        <is>
          <t xml:space="preserve">UI-010</t>
        </is>
      </c>
      <c r="B163" s="2" t="inlineStr">
        <is>
          <t xml:space="preserve">Component Library</t>
        </is>
      </c>
      <c r="C163" s="2" t="inlineStr">
        <is>
          <t xml:space="preserve">Components › Info tips and popovers</t>
        </is>
      </c>
      <c r="D163" s="2" t="inlineStr">
        <is>
          <t xml:space="preserve">Info tips open anchored popovers, close with Escape or outside click and keep focus order.</t>
        </is>
      </c>
      <c r="E163" s="2" t="inlineStr">
        <is>
          <t xml:space="preserve">Not set</t>
        </is>
      </c>
      <c r="F163" s="2" t="inlineStr">
        <is>
          <t xml:space="preserve">Not tested</t>
        </is>
      </c>
      <c r="G163" s="2" t="inlineStr">
        <is>
          <t xml:space="preserve">Pending</t>
        </is>
      </c>
      <c r="H163" s="2" t="inlineStr">
        <is>
          <t xml:space="preserve"/>
        </is>
      </c>
      <c r="I163" s="2" t="inlineStr">
        <is>
          <t xml:space="preserve"/>
        </is>
      </c>
      <c r="J163" s="2" t="inlineStr">
        <is>
          <t xml:space="preserve"/>
        </is>
      </c>
      <c r="K163" s="2" t="inlineStr">
        <is>
          <t xml:space="preserve"/>
        </is>
      </c>
      <c r="L163" s="2" t="inlineStr">
        <is>
          <t xml:space="preserve"/>
        </is>
      </c>
      <c r="M163" s="2" t="inlineStr">
        <is>
          <t xml:space="preserve"/>
        </is>
      </c>
      <c r="N163" s="2" t="inlineStr">
        <is>
          <t xml:space="preserve"/>
        </is>
      </c>
      <c r="O163" s="2" t="inlineStr">
        <is>
          <t xml:space="preserve"/>
        </is>
      </c>
      <c r="P163" s="2" t="inlineStr">
        <is>
          <t xml:space="preserve">docs/architecture/COMPONENTS.md; frontend/tests/ui-consistency.spec.ts</t>
        </is>
      </c>
      <c r="Q163" s="2" t="inlineStr">
        <is>
          <t xml:space="preserve">Not assessed</t>
        </is>
      </c>
      <c r="R163" s="2" t="inlineStr">
        <is>
          <t xml:space="preserve">Unclassified</t>
        </is>
      </c>
      <c r="S163" s="2" t="inlineStr">
        <is>
          <t xml:space="preserve">Not started</t>
        </is>
      </c>
    </row>
    <row r="164">
      <c r="A164" s="2" t="inlineStr">
        <is>
          <t xml:space="preserve">UI-011</t>
        </is>
      </c>
      <c r="B164" s="2" t="inlineStr">
        <is>
          <t xml:space="preserve">Component Library</t>
        </is>
      </c>
      <c r="C164" s="2" t="inlineStr">
        <is>
          <t xml:space="preserve">Components › Dialogs and side panels</t>
        </is>
      </c>
      <c r="D164" s="2" t="inlineStr">
        <is>
          <t xml:space="preserve">Dialogs trap focus, close with Escape, return focus and fit narrow screens.</t>
        </is>
      </c>
      <c r="E164" s="2" t="inlineStr">
        <is>
          <t xml:space="preserve">Not set</t>
        </is>
      </c>
      <c r="F164" s="2" t="inlineStr">
        <is>
          <t xml:space="preserve">Not tested</t>
        </is>
      </c>
      <c r="G164" s="2" t="inlineStr">
        <is>
          <t xml:space="preserve">Pending</t>
        </is>
      </c>
      <c r="H164" s="2" t="inlineStr">
        <is>
          <t xml:space="preserve"/>
        </is>
      </c>
      <c r="I164" s="2" t="inlineStr">
        <is>
          <t xml:space="preserve"/>
        </is>
      </c>
      <c r="J164" s="2" t="inlineStr">
        <is>
          <t xml:space="preserve"/>
        </is>
      </c>
      <c r="K164" s="2" t="inlineStr">
        <is>
          <t xml:space="preserve"/>
        </is>
      </c>
      <c r="L164" s="2" t="inlineStr">
        <is>
          <t xml:space="preserve"/>
        </is>
      </c>
      <c r="M164" s="2" t="inlineStr">
        <is>
          <t xml:space="preserve"/>
        </is>
      </c>
      <c r="N164" s="2" t="inlineStr">
        <is>
          <t xml:space="preserve"/>
        </is>
      </c>
      <c r="O164" s="2" t="inlineStr">
        <is>
          <t xml:space="preserve"/>
        </is>
      </c>
      <c r="P164" s="2" t="inlineStr">
        <is>
          <t xml:space="preserve">docs/architecture/COMPONENTS.md; frontend/tests/a11y-audit.spec.ts</t>
        </is>
      </c>
      <c r="Q164" s="2" t="inlineStr">
        <is>
          <t xml:space="preserve">Not assessed</t>
        </is>
      </c>
      <c r="R164" s="2" t="inlineStr">
        <is>
          <t xml:space="preserve">Unclassified</t>
        </is>
      </c>
      <c r="S164" s="2" t="inlineStr">
        <is>
          <t xml:space="preserve">Not started</t>
        </is>
      </c>
    </row>
    <row r="165">
      <c r="A165" s="2" t="inlineStr">
        <is>
          <t xml:space="preserve">UI-014</t>
        </is>
      </c>
      <c r="B165" s="2" t="inlineStr">
        <is>
          <t xml:space="preserve">Component Library</t>
        </is>
      </c>
      <c r="C165" s="2" t="inlineStr">
        <is>
          <t xml:space="preserve">Content › Terminology and capitalization</t>
        </is>
      </c>
      <c r="D165" s="2" t="inlineStr">
        <is>
          <t xml:space="preserve">Labels, headings and SAP terms use consistent wording and capitalization (for example SAP User Group).</t>
        </is>
      </c>
      <c r="E165" s="2" t="inlineStr">
        <is>
          <t xml:space="preserve">Not set</t>
        </is>
      </c>
      <c r="F165" s="2" t="inlineStr">
        <is>
          <t xml:space="preserve">Not tested</t>
        </is>
      </c>
      <c r="G165" s="2" t="inlineStr">
        <is>
          <t xml:space="preserve">Pending</t>
        </is>
      </c>
      <c r="H165" s="2" t="inlineStr">
        <is>
          <t xml:space="preserve"/>
        </is>
      </c>
      <c r="I165" s="2" t="inlineStr">
        <is>
          <t xml:space="preserve"/>
        </is>
      </c>
      <c r="J165" s="2" t="inlineStr">
        <is>
          <t xml:space="preserve"/>
        </is>
      </c>
      <c r="K165" s="2" t="inlineStr">
        <is>
          <t xml:space="preserve"/>
        </is>
      </c>
      <c r="L165" s="2" t="inlineStr">
        <is>
          <t xml:space="preserve"/>
        </is>
      </c>
      <c r="M165" s="2" t="inlineStr">
        <is>
          <t xml:space="preserve"/>
        </is>
      </c>
      <c r="N165" s="2" t="inlineStr">
        <is>
          <t xml:space="preserve"/>
        </is>
      </c>
      <c r="O165" s="2" t="inlineStr">
        <is>
          <t xml:space="preserve"/>
        </is>
      </c>
      <c r="P165" s="2" t="inlineStr">
        <is>
          <t xml:space="preserve">docs/archive/validation/UI_UX_GAP_AUDIT.md</t>
        </is>
      </c>
      <c r="Q165" s="2" t="inlineStr">
        <is>
          <t xml:space="preserve">Not assessed</t>
        </is>
      </c>
      <c r="R165" s="2" t="inlineStr">
        <is>
          <t xml:space="preserve">Unclassified</t>
        </is>
      </c>
      <c r="S165" s="2" t="inlineStr">
        <is>
          <t xml:space="preserve">Not started</t>
        </is>
      </c>
    </row>
    <row r="166">
      <c r="A166" s="2" t="inlineStr">
        <is>
          <t xml:space="preserve">UI-015</t>
        </is>
      </c>
      <c r="B166" s="2" t="inlineStr">
        <is>
          <t xml:space="preserve">Component Library</t>
        </is>
      </c>
      <c r="C166" s="2" t="inlineStr">
        <is>
          <t xml:space="preserve">Settings › Component Library</t>
        </is>
      </c>
      <c r="D166" s="2" t="inlineStr">
        <is>
          <t xml:space="preserve">The Component Library previews the shared components in isolation and matches the live components.</t>
        </is>
      </c>
      <c r="E166" s="2" t="inlineStr">
        <is>
          <t xml:space="preserve">Not set</t>
        </is>
      </c>
      <c r="F166" s="2" t="inlineStr">
        <is>
          <t xml:space="preserve">Not tested</t>
        </is>
      </c>
      <c r="G166" s="2" t="inlineStr">
        <is>
          <t xml:space="preserve">Pending</t>
        </is>
      </c>
      <c r="H166" s="2" t="inlineStr">
        <is>
          <t xml:space="preserve"/>
        </is>
      </c>
      <c r="I166" s="2" t="inlineStr">
        <is>
          <t xml:space="preserve"/>
        </is>
      </c>
      <c r="J166" s="2" t="inlineStr">
        <is>
          <t xml:space="preserve"/>
        </is>
      </c>
      <c r="K166" s="2" t="inlineStr">
        <is>
          <t xml:space="preserve"/>
        </is>
      </c>
      <c r="L166" s="2" t="inlineStr">
        <is>
          <t xml:space="preserve"/>
        </is>
      </c>
      <c r="M166" s="2" t="inlineStr">
        <is>
          <t xml:space="preserve"/>
        </is>
      </c>
      <c r="N166" s="2" t="inlineStr">
        <is>
          <t xml:space="preserve"/>
        </is>
      </c>
      <c r="O166" s="2" t="inlineStr">
        <is>
          <t xml:space="preserve"/>
        </is>
      </c>
      <c r="P166" s="2" t="inlineStr">
        <is>
          <t xml:space="preserve">docs/architecture/COMPONENTS.md; frontend/tests/settings-r2.spec.ts</t>
        </is>
      </c>
      <c r="Q166" s="2" t="inlineStr">
        <is>
          <t xml:space="preserve">Not assessed</t>
        </is>
      </c>
      <c r="R166" s="2" t="inlineStr">
        <is>
          <t xml:space="preserve">Unclassified</t>
        </is>
      </c>
      <c r="S166" s="2" t="inlineStr">
        <is>
          <t xml:space="preserve">Not started</t>
        </is>
      </c>
    </row>
    <row r="167">
      <c r="A167" s="2" t="inlineStr">
        <is>
          <t xml:space="preserve">UI-016</t>
        </is>
      </c>
      <c r="B167" s="2" t="inlineStr">
        <is>
          <t xml:space="preserve">Component Library</t>
        </is>
      </c>
      <c r="C167" s="2" t="inlineStr">
        <is>
          <t xml:space="preserve">Components › Info tip trigger size</t>
        </is>
      </c>
      <c r="D167" s="2" t="inlineStr">
        <is>
          <t xml:space="preserve">The info tip icon button is no taller than the heading text it sits beside.</t>
        </is>
      </c>
      <c r="E167" s="2" t="inlineStr">
        <is>
          <t xml:space="preserve">Low</t>
        </is>
      </c>
      <c r="F167" s="2" t="inlineStr">
        <is>
          <t xml:space="preserve">Needs improvement</t>
        </is>
      </c>
      <c r="G167" s="2" t="inlineStr">
        <is>
          <t xml:space="preserve">Pending</t>
        </is>
      </c>
      <c r="H167" s="2" t="inlineStr">
        <is>
          <t xml:space="preserve"/>
        </is>
      </c>
      <c r="I167" s="2" t="inlineStr">
        <is>
          <t xml:space="preserve"/>
        </is>
      </c>
      <c r="J167" s="2" t="inlineStr">
        <is>
          <t xml:space="preserve"/>
        </is>
      </c>
      <c r="K167" s="2" t="inlineStr">
        <is>
          <t xml:space="preserve">Round 4 visual QA: the shared 32 px icon button is taller than headings such as Account review progress.</t>
        </is>
      </c>
      <c r="L167" s="2" t="inlineStr">
        <is>
          <t xml:space="preserve"/>
        </is>
      </c>
      <c r="M167" s="2" t="inlineStr">
        <is>
          <t xml:space="preserve"/>
        </is>
      </c>
      <c r="N167" s="2" t="inlineStr">
        <is>
          <t xml:space="preserve"/>
        </is>
      </c>
      <c r="O167" s="2" t="inlineStr">
        <is>
          <t xml:space="preserve"/>
        </is>
      </c>
      <c r="P167" s="2" t="inlineStr">
        <is>
          <t xml:space="preserve">frontend/src/components/Shared/InfoTip.tsx</t>
        </is>
      </c>
      <c r="Q167" s="2" t="inlineStr">
        <is>
          <t xml:space="preserve">Not assessed</t>
        </is>
      </c>
      <c r="R167" s="2" t="inlineStr">
        <is>
          <t xml:space="preserve">Improvement opportunity</t>
        </is>
      </c>
      <c r="S167" s="2" t="inlineStr">
        <is>
          <t xml:space="preserve">Not started</t>
        </is>
      </c>
    </row>
    <row r="168">
      <c r="A168" s="2" t="inlineStr">
        <is>
          <t xml:space="preserve">UI-017</t>
        </is>
      </c>
      <c r="B168" s="2" t="inlineStr">
        <is>
          <t xml:space="preserve">Component Library</t>
        </is>
      </c>
      <c r="C168" s="2" t="inlineStr">
        <is>
          <t xml:space="preserve">Header and navigation › Navigation submenu scrollbar</t>
        </is>
      </c>
      <c r="D168" s="2" t="inlineStr">
        <is>
          <t xml:space="preserve">Opening a navigation chevron never adds a scrollbar, changes the navbar size or draws a left border; the chevron shows its open state; Escape, outside click and keyboard behavior still work at every width in both themes.</t>
        </is>
      </c>
      <c r="E168" s="2" t="inlineStr">
        <is>
          <t xml:space="preserve">Not set</t>
        </is>
      </c>
      <c r="F168" s="2" t="inlineStr">
        <is>
          <t xml:space="preserve">Not tested</t>
        </is>
      </c>
      <c r="G168" s="2" t="inlineStr">
        <is>
          <t xml:space="preserve">Pending</t>
        </is>
      </c>
      <c r="H168" s="2" t="inlineStr">
        <is>
          <t xml:space="preserve">frontend/tests/navigation-r3.spec.ts (9 widths, no scroll containers in the header, unchanged header size, chevron state)</t>
        </is>
      </c>
      <c r="I168" s="2" t="inlineStr">
        <is>
          <t xml:space="preserve"/>
        </is>
      </c>
      <c r="J168" s="2" t="inlineStr">
        <is>
          <t xml:space="preserve"/>
        </is>
      </c>
      <c r="K168" s="2" t="inlineStr">
        <is>
          <t xml:space="preserve"/>
        </is>
      </c>
      <c r="L168" s="2" t="inlineStr">
        <is>
          <t xml:space="preserve"/>
        </is>
      </c>
      <c r="M168" s="2" t="inlineStr">
        <is>
          <t xml:space="preserve"/>
        </is>
      </c>
      <c r="N168" s="2" t="inlineStr">
        <is>
          <t xml:space="preserve"/>
        </is>
      </c>
      <c r="O168" s="2" t="inlineStr">
        <is>
          <t xml:space="preserve"/>
        </is>
      </c>
      <c r="P168" s="2" t="inlineStr">
        <is>
          <t xml:space="preserve">frontend/src/components/Shared/Navigation.tsx; docs/architecture/NAVIGATION.md</t>
        </is>
      </c>
      <c r="Q168" s="2" t="inlineStr">
        <is>
          <t xml:space="preserve">Implemented</t>
        </is>
      </c>
      <c r="R168" s="2" t="inlineStr">
        <is>
          <t xml:space="preserve">Unclassified</t>
        </is>
      </c>
      <c r="S168" s="2" t="inlineStr">
        <is>
          <t xml:space="preserve">Not started</t>
        </is>
      </c>
    </row>
    <row r="169">
      <c r="A169" s="2" t="inlineStr">
        <is>
          <t xml:space="preserve">UI-018</t>
        </is>
      </c>
      <c r="B169" s="2" t="inlineStr">
        <is>
          <t xml:space="preserve">Component Library</t>
        </is>
      </c>
      <c r="C169" s="2" t="inlineStr">
        <is>
          <t xml:space="preserve">SoD pages › Review Context alignment</t>
        </is>
      </c>
      <c r="D169" s="2" t="inlineStr">
        <is>
          <t xml:space="preserve">The evaluation information is vertically centered on the Review Context dropdown, with consistent spacing, and wraps without overlap on narrow screens.</t>
        </is>
      </c>
      <c r="E169" s="2" t="inlineStr">
        <is>
          <t xml:space="preserve">Not set</t>
        </is>
      </c>
      <c r="F169" s="2" t="inlineStr">
        <is>
          <t xml:space="preserve">Not tested</t>
        </is>
      </c>
      <c r="G169" s="2" t="inlineStr">
        <is>
          <t xml:space="preserve">Pending</t>
        </is>
      </c>
      <c r="H169" s="2" t="inlineStr">
        <is>
          <t xml:space="preserve">frontend/tests/shared-ui-r5.spec.ts</t>
        </is>
      </c>
      <c r="I169" s="2" t="inlineStr">
        <is>
          <t xml:space="preserve"/>
        </is>
      </c>
      <c r="J169" s="2" t="inlineStr">
        <is>
          <t xml:space="preserve"/>
        </is>
      </c>
      <c r="K169" s="2" t="inlineStr">
        <is>
          <t xml:space="preserve"/>
        </is>
      </c>
      <c r="L169" s="2" t="inlineStr">
        <is>
          <t xml:space="preserve"/>
        </is>
      </c>
      <c r="M169" s="2" t="inlineStr">
        <is>
          <t xml:space="preserve"/>
        </is>
      </c>
      <c r="N169" s="2" t="inlineStr">
        <is>
          <t xml:space="preserve"/>
        </is>
      </c>
      <c r="O169" s="2" t="inlineStr">
        <is>
          <t xml:space="preserve"/>
        </is>
      </c>
      <c r="P169" s="2" t="inlineStr">
        <is>
          <t xml:space="preserve">frontend/src/components/Sod/SodShared.tsx</t>
        </is>
      </c>
      <c r="Q169" s="2" t="inlineStr">
        <is>
          <t xml:space="preserve">Implemented</t>
        </is>
      </c>
      <c r="R169" s="2" t="inlineStr">
        <is>
          <t xml:space="preserve">Unclassified</t>
        </is>
      </c>
      <c r="S169" s="2" t="inlineStr">
        <is>
          <t xml:space="preserve">Not started</t>
        </is>
      </c>
    </row>
    <row r="170">
      <c r="A170" s="2" t="inlineStr">
        <is>
          <t xml:space="preserve">UI-019</t>
        </is>
      </c>
      <c r="B170" s="2" t="inlineStr">
        <is>
          <t xml:space="preserve">Component Library</t>
        </is>
      </c>
      <c r="C170" s="2" t="inlineStr">
        <is>
          <t xml:space="preserve">All pages › Status labels, tags and badges: casing</t>
        </is>
      </c>
      <c r="D170" s="2" t="inlineStr">
        <is>
          <t xml:space="preserve">User-facing labels are sentence case (or the proper noun form), never lowercase internal enum values such as directory_match.</t>
        </is>
      </c>
      <c r="E170" s="2" t="inlineStr">
        <is>
          <t xml:space="preserve">Not set</t>
        </is>
      </c>
      <c r="F170" s="2" t="inlineStr">
        <is>
          <t xml:space="preserve">Not tested</t>
        </is>
      </c>
      <c r="G170" s="2" t="inlineStr">
        <is>
          <t xml:space="preserve">Pending</t>
        </is>
      </c>
      <c r="H170" s="2" t="inlineStr">
        <is>
          <t xml:space="preserve">frontend/tests/status-consistency-r6.spec.ts (badge text on Dashboard, SoD pages, Settings diagnostics and risk configuration)</t>
        </is>
      </c>
      <c r="I170" s="2" t="inlineStr">
        <is>
          <t xml:space="preserve"/>
        </is>
      </c>
      <c r="J170" s="2" t="inlineStr">
        <is>
          <t xml:space="preserve"/>
        </is>
      </c>
      <c r="K170" s="2" t="inlineStr">
        <is>
          <t xml:space="preserve"/>
        </is>
      </c>
      <c r="L170" s="2" t="inlineStr">
        <is>
          <t xml:space="preserve"/>
        </is>
      </c>
      <c r="M170" s="2" t="inlineStr">
        <is>
          <t xml:space="preserve"/>
        </is>
      </c>
      <c r="N170" s="2" t="inlineStr">
        <is>
          <t xml:space="preserve">Page through Role Lookup, User Access, Account Review and the Settings tabs and look for any remaining lowercase or technical label.</t>
        </is>
      </c>
      <c r="O170" s="2" t="inlineStr">
        <is>
          <t xml:space="preserve">The automated check covers the Dashboard, SoD Overview, Review Periods, Settings health and SoD risk configuration; other pages were audited by code search only.</t>
        </is>
      </c>
      <c r="P170" s="2" t="inlineStr">
        <is>
          <t xml:space="preserve">frontend/src/lib/labels.ts; frontend/src/components/Shared/StatusBadges.tsx; docs/architecture/DESIGN_SYSTEM.md</t>
        </is>
      </c>
      <c r="Q170" s="2" t="inlineStr">
        <is>
          <t xml:space="preserve">Implemented</t>
        </is>
      </c>
      <c r="R170" s="2" t="inlineStr">
        <is>
          <t xml:space="preserve">Unclassified</t>
        </is>
      </c>
      <c r="S170" s="2" t="inlineStr">
        <is>
          <t xml:space="preserve">Not started</t>
        </is>
      </c>
    </row>
    <row r="171">
      <c r="A171" s="2" t="inlineStr">
        <is>
          <t xml:space="preserve">UI-020</t>
        </is>
      </c>
      <c r="B171" s="2" t="inlineStr">
        <is>
          <t xml:space="preserve">Component Library</t>
        </is>
      </c>
      <c r="C171" s="2" t="inlineStr">
        <is>
          <t xml:space="preserve">Dashboard, Settings, SoD › Standard Enabled, Disabled, Loaded, Dynamic, warning, information and review status components with Lucide icons</t>
        </is>
      </c>
      <c r="D171" s="2" t="inlineStr">
        <is>
          <t xml:space="preserve">Enabled, Disabled, Static and Dynamic use one shared badge (wording, tone, icon) everywhere; Loaded, warning and review states use the shared status components.</t>
        </is>
      </c>
      <c r="E171" s="2" t="inlineStr">
        <is>
          <t xml:space="preserve">Not set</t>
        </is>
      </c>
      <c r="F171" s="2" t="inlineStr">
        <is>
          <t xml:space="preserve">Not tested</t>
        </is>
      </c>
      <c r="G171" s="2" t="inlineStr">
        <is>
          <t xml:space="preserve">Pending</t>
        </is>
      </c>
      <c r="H171" s="2" t="inlineStr">
        <is>
          <t xml:space="preserve">frontend/tests/status-consistency-r6.spec.ts; frontend/tests/sod-risk-config-r6.spec.ts</t>
        </is>
      </c>
      <c r="I171" s="2" t="inlineStr">
        <is>
          <t xml:space="preserve"/>
        </is>
      </c>
      <c r="J171" s="2" t="inlineStr">
        <is>
          <t xml:space="preserve"/>
        </is>
      </c>
      <c r="K171" s="2" t="inlineStr">
        <is>
          <t xml:space="preserve"/>
        </is>
      </c>
      <c r="L171" s="2" t="inlineStr">
        <is>
          <t xml:space="preserve"/>
        </is>
      </c>
      <c r="M171" s="2" t="inlineStr">
        <is>
          <t xml:space="preserve"/>
        </is>
      </c>
      <c r="N171" s="2" t="inlineStr">
        <is>
          <t xml:space="preserve">Check in both themes that the icons read clearly and that similar states look alike on every page.</t>
        </is>
      </c>
      <c r="O171" s="2" t="inlineStr">
        <is>
          <t xml:space="preserve">Loaded, warning and review states already used shared components and were not restyled; the icon choice is a design judgement.</t>
        </is>
      </c>
      <c r="P171" s="2" t="inlineStr">
        <is>
          <t xml:space="preserve">frontend/src/components/Shared/StatusBadges.tsx; frontend/src/components/Shared/StatusPill.tsx; frontend/src/components/Shared/SourceBadge.tsx</t>
        </is>
      </c>
      <c r="Q171" s="2" t="inlineStr">
        <is>
          <t xml:space="preserve">Implemented</t>
        </is>
      </c>
      <c r="R171" s="2" t="inlineStr">
        <is>
          <t xml:space="preserve">Unclassified</t>
        </is>
      </c>
      <c r="S171" s="2" t="inlineStr">
        <is>
          <t xml:space="preserve">Not started</t>
        </is>
      </c>
    </row>
    <row r="172">
      <c r="A172" s="2" t="inlineStr">
        <is>
          <t xml:space="preserve">UI-021</t>
        </is>
      </c>
      <c r="B172" s="2" t="inlineStr">
        <is>
          <t xml:space="preserve">Component Library</t>
        </is>
      </c>
      <c r="C172" s="2" t="inlineStr">
        <is>
          <t xml:space="preserve">Dashboard, Account Review, SoD › Semantic KPI colors and neutral zero</t>
        </is>
      </c>
      <c r="D172" s="2" t="inlineStr">
        <is>
          <t xml:space="preserve">Critical KPI values use semantic colors; a zero count is always neutral and never warning or danger.</t>
        </is>
      </c>
      <c r="E172" s="2" t="inlineStr">
        <is>
          <t xml:space="preserve">Not set</t>
        </is>
      </c>
      <c r="F172" s="2" t="inlineStr">
        <is>
          <t xml:space="preserve">Not tested</t>
        </is>
      </c>
      <c r="G172" s="2" t="inlineStr">
        <is>
          <t xml:space="preserve">Pending</t>
        </is>
      </c>
      <c r="H172" s="2" t="inlineStr">
        <is>
          <t xml:space="preserve">frontend/tests/status-consistency-r6.spec.ts (no zero value with warning or danger tone on the Dashboard, Account Review, SoD Overview and Risk Matrix)</t>
        </is>
      </c>
      <c r="I172" s="2" t="inlineStr">
        <is>
          <t xml:space="preserve"/>
        </is>
      </c>
      <c r="J172" s="2" t="inlineStr">
        <is>
          <t xml:space="preserve"/>
        </is>
      </c>
      <c r="K172" s="2" t="inlineStr">
        <is>
          <t xml:space="preserve"/>
        </is>
      </c>
      <c r="L172" s="2" t="inlineStr">
        <is>
          <t xml:space="preserve"/>
        </is>
      </c>
      <c r="M172" s="2" t="inlineStr">
        <is>
          <t xml:space="preserve"/>
        </is>
      </c>
      <c r="N172" s="2" t="inlineStr">
        <is>
          <t xml:space="preserve">Look at KPI colors in light and dark: critical values readable, zeros calm (including completed or approved counts at zero).</t>
        </is>
      </c>
      <c r="O172" s="2" t="inlineStr">
        <is>
          <t xml:space="preserve"/>
        </is>
      </c>
      <c r="P172" s="2" t="inlineStr">
        <is>
          <t xml:space="preserve">frontend/src/components/Shared/Kpi.tsx; frontend/src/components/Shared/InfoList.tsx; frontend/src/lib/labels.ts</t>
        </is>
      </c>
      <c r="Q172" s="2" t="inlineStr">
        <is>
          <t xml:space="preserve">Implemented</t>
        </is>
      </c>
      <c r="R172" s="2" t="inlineStr">
        <is>
          <t xml:space="preserve">Unclassified</t>
        </is>
      </c>
      <c r="S172" s="2" t="inlineStr">
        <is>
          <t xml:space="preserve">Not started</t>
        </is>
      </c>
    </row>
    <row r="173">
      <c r="A173" s="2" t="inlineStr">
        <is>
          <t xml:space="preserve">UI-023</t>
        </is>
      </c>
      <c r="B173" s="2" t="inlineStr">
        <is>
          <t xml:space="preserve">Component Library</t>
        </is>
      </c>
      <c r="C173" s="2" t="inlineStr">
        <is>
          <t xml:space="preserve">All pages › Shared components and semantic tokens over page-specific CSS</t>
        </is>
      </c>
      <c r="D173" s="2" t="inlineStr">
        <is>
          <t xml:space="preserve">New and changed status, KPI and focus behavior comes from shared components and tokens (StatusBadges, Kpi, InfoRow, --focus-radius) rather than page overrides.</t>
        </is>
      </c>
      <c r="E173" s="2" t="inlineStr">
        <is>
          <t xml:space="preserve">Not set</t>
        </is>
      </c>
      <c r="F173" s="2" t="inlineStr">
        <is>
          <t xml:space="preserve">Not tested</t>
        </is>
      </c>
      <c r="G173" s="2" t="inlineStr">
        <is>
          <t xml:space="preserve">Pending</t>
        </is>
      </c>
      <c r="H173" s="2" t="inlineStr">
        <is>
          <t xml:space="preserve">frontend/tests/status-consistency-r6.spec.ts; frontend/tests/kpi-standard.spec.ts</t>
        </is>
      </c>
      <c r="I173" s="2" t="inlineStr">
        <is>
          <t xml:space="preserve"/>
        </is>
      </c>
      <c r="J173" s="2" t="inlineStr">
        <is>
          <t xml:space="preserve"/>
        </is>
      </c>
      <c r="K173" s="2" t="inlineStr">
        <is>
          <t xml:space="preserve"/>
        </is>
      </c>
      <c r="L173" s="2" t="inlineStr">
        <is>
          <t xml:space="preserve"/>
        </is>
      </c>
      <c r="M173" s="2" t="inlineStr">
        <is>
          <t xml:space="preserve"/>
        </is>
      </c>
      <c r="N173" s="2" t="inlineStr">
        <is>
          <t xml:space="preserve">Review the Component Library page for the shared patterns.</t>
        </is>
      </c>
      <c r="O173" s="2" t="inlineStr">
        <is>
          <t xml:space="preserve">The Component Library does not yet demonstrate EnabledBadge and ModeBadge as separate entries.</t>
        </is>
      </c>
      <c r="P173" s="2" t="inlineStr">
        <is>
          <t xml:space="preserve">frontend/src/components/Shared; docs/architecture/DESIGN_SYSTEM.md</t>
        </is>
      </c>
      <c r="Q173" s="2" t="inlineStr">
        <is>
          <t xml:space="preserve">Implemented</t>
        </is>
      </c>
      <c r="R173" s="2" t="inlineStr">
        <is>
          <t xml:space="preserve">Unclassified</t>
        </is>
      </c>
      <c r="S173" s="2" t="inlineStr">
        <is>
          <t xml:space="preserve">Not started</t>
        </is>
      </c>
    </row>
    <row r="174">
      <c r="A174" s="2" t="inlineStr">
        <is>
          <t xml:space="preserve">UI-024</t>
        </is>
      </c>
      <c r="B174" s="2" t="inlineStr">
        <is>
          <t xml:space="preserve">Component Library</t>
        </is>
      </c>
      <c r="C174" s="2" t="inlineStr">
        <is>
          <t xml:space="preserve">SoD Overview, Dashboard, Account Review, Remediation, Reviews, Access Explorer, matrices › Shared KPI tone mapping (R6 correction)</t>
        </is>
      </c>
      <c r="D174" s="2" t="inlineStr">
        <is>
          <t xml:space="preserve">KPI tone comes from lib/kpiTone.ts, not from pages: potential conflicts, pending, outdated, rejected and removal states are warning; overdue actions are danger; completed, approved and accepted are success; informational totals and enabled definitions are neutral; every zero is neutral.</t>
        </is>
      </c>
      <c r="E174" s="2" t="inlineStr">
        <is>
          <t xml:space="preserve">Not set</t>
        </is>
      </c>
      <c r="F174" s="2" t="inlineStr">
        <is>
          <t xml:space="preserve">Not tested</t>
        </is>
      </c>
      <c r="G174" s="2" t="inlineStr">
        <is>
          <t xml:space="preserve">Pending</t>
        </is>
      </c>
      <c r="H174" s="2" t="inlineStr">
        <is>
          <t xml:space="preserve">frontend/tests/kpi-semantic-tones.spec.ts (every SoD Overview metric, all-zero neutrality, Dashboard parity, contrast in light and dark)</t>
        </is>
      </c>
      <c r="I174" s="2" t="inlineStr">
        <is>
          <t xml:space="preserve"/>
        </is>
      </c>
      <c r="J174" s="2" t="inlineStr">
        <is>
          <t xml:space="preserve"/>
        </is>
      </c>
      <c r="K174" s="2" t="inlineStr">
        <is>
          <t xml:space="preserve">Contrast of warning, danger and success figures measured above 3:1 in both themes (large bold figures).</t>
        </is>
      </c>
      <c r="L174" s="2" t="inlineStr">
        <is>
          <t xml:space="preserve"/>
        </is>
      </c>
      <c r="M174" s="2" t="inlineStr">
        <is>
          <t xml:space="preserve"/>
        </is>
      </c>
      <c r="N174" s="2" t="inlineStr">
        <is>
          <t xml:space="preserve">Look at SoD Overview, Dashboard and Account Review in both themes: colors match meaning, zeros are calm.</t>
        </is>
      </c>
      <c r="O174" s="2" t="inlineStr">
        <is>
          <t xml:space="preserve">Rejected risks and removal states changed from danger to warning in the matrix tiles to follow the stated rules; pages outside the listed ones keep their explicit tones.</t>
        </is>
      </c>
      <c r="P174" s="2" t="inlineStr">
        <is>
          <t xml:space="preserve">frontend/src/lib/kpiTone.ts; frontend/src/lib/labels.ts; docs/architecture/DESIGN_SYSTEM.md</t>
        </is>
      </c>
      <c r="Q174" s="2" t="inlineStr">
        <is>
          <t xml:space="preserve">Implemented</t>
        </is>
      </c>
      <c r="R174" s="2" t="inlineStr">
        <is>
          <t xml:space="preserve">Unclassified</t>
        </is>
      </c>
      <c r="S174" s="2" t="inlineStr">
        <is>
          <t xml:space="preserve">Not started</t>
        </is>
      </c>
    </row>
    <row r="175">
      <c r="A175" s="2" t="inlineStr">
        <is>
          <t xml:space="preserve">R8-02</t>
        </is>
      </c>
      <c r="B175" s="2" t="inlineStr">
        <is>
          <t xml:space="preserve">Component Library</t>
        </is>
      </c>
      <c r="C175" s="2" t="inlineStr">
        <is>
          <t xml:space="preserve">Settings › Component Library › Category tabs scrollbar</t>
        </is>
      </c>
      <c r="D175" s="2" t="inlineStr">
        <is>
          <t xml:space="preserve">The category tabs scroll horizontally with the application scrollbar design (tokens), about 8px below the active underline, keeping the underline, mouse, touchpad and keyboard use, with no page-level overflow.</t>
        </is>
      </c>
      <c r="E175" s="2" t="inlineStr">
        <is>
          <t xml:space="preserve">Low</t>
        </is>
      </c>
      <c r="F175" s="2" t="inlineStr">
        <is>
          <t xml:space="preserve">Not tested</t>
        </is>
      </c>
      <c r="G175" s="2" t="inlineStr">
        <is>
          <t xml:space="preserve">Pending</t>
        </is>
      </c>
      <c r="H175" s="2" t="inlineStr">
        <is>
          <t xml:space="preserve">frontend/tests/r8-ui-polish.spec.ts</t>
        </is>
      </c>
      <c r="I175" s="2" t="inlineStr">
        <is>
          <t xml:space="preserve"/>
        </is>
      </c>
      <c r="J175" s="2" t="inlineStr">
        <is>
          <t xml:space="preserve"/>
        </is>
      </c>
      <c r="K175" s="2" t="inlineStr">
        <is>
          <t xml:space="preserve">Root cause: scrollbar-width on the tab strips switched off the application scrollbar styling. Fixed with --scrollbar-* tokens (R8 phase 1).</t>
        </is>
      </c>
      <c r="L175" s="2" t="inlineStr">
        <is>
          <t xml:space="preserve"/>
        </is>
      </c>
      <c r="M175" s="2" t="inlineStr">
        <is>
          <t xml:space="preserve"/>
        </is>
      </c>
      <c r="N175" s="2" t="inlineStr">
        <is>
          <t xml:space="preserve">Narrow the window until the tabs overflow and look at the scrollbar in both themes.</t>
        </is>
      </c>
      <c r="O175" s="2" t="inlineStr">
        <is>
          <t xml:space="preserve">Headless browsers hide scrollbars, so the automated test reads the styling from the pseudo-element; the visual scrollbar needs a manual look.</t>
        </is>
      </c>
      <c r="P175" s="2" t="inlineStr">
        <is>
          <t xml:space="preserve">frontend/src/styles/tokens.css; frontend/src/index.css; frontend/src/styles/components.css</t>
        </is>
      </c>
      <c r="Q175" s="2" t="inlineStr">
        <is>
          <t xml:space="preserve">Implemented</t>
        </is>
      </c>
      <c r="R175" s="2" t="inlineStr">
        <is>
          <t xml:space="preserve">Unclassified</t>
        </is>
      </c>
      <c r="S175" s="2" t="inlineStr">
        <is>
          <t xml:space="preserve">Not started</t>
        </is>
      </c>
    </row>
    <row r="176">
      <c r="A176" s="2" t="inlineStr">
        <is>
          <t xml:space="preserve">R7-01</t>
        </is>
      </c>
      <c r="B176" s="2" t="inlineStr">
        <is>
          <t xml:space="preserve">Desktop and Startup</t>
        </is>
      </c>
      <c r="C176" s="2" t="inlineStr">
        <is>
          <t xml:space="preserve">Desktop loading screen › Logo, name and status centered</t>
        </is>
      </c>
      <c r="D176" s="2" t="inlineStr">
        <is>
          <t xml:space="preserve">The SAP Lens logo, the application name and the status line ("Connecting to local service…") share one horizontal axis in one centered flex column, with consistent spacing and no overflow, at any width.</t>
        </is>
      </c>
      <c r="E176" s="2" t="inlineStr">
        <is>
          <t xml:space="preserve">Not set</t>
        </is>
      </c>
      <c r="F176" s="2" t="inlineStr">
        <is>
          <t xml:space="preserve">Not tested</t>
        </is>
      </c>
      <c r="G176" s="2" t="inlineStr">
        <is>
          <t xml:space="preserve">Pending</t>
        </is>
      </c>
      <c r="H176" s="2" t="inlineStr">
        <is>
          <t xml:space="preserve">frontend/tests/startup-screen.spec.ts</t>
        </is>
      </c>
      <c r="I176" s="2" t="inlineStr">
        <is>
          <t xml:space="preserve"/>
        </is>
      </c>
      <c r="J176" s="2" t="inlineStr">
        <is>
          <t xml:space="preserve"/>
        </is>
      </c>
      <c r="K176" s="2" t="inlineStr">
        <is>
          <t xml:space="preserve">Root cause: an inline image in a 140x100 box around the square logo, with independent margins. Replaced by a block image in a flex column (desktop document and web bootstrap). Centres measured within 1px at 375, 800, 1280 and 1600 px in Chromium.</t>
        </is>
      </c>
      <c r="L176" s="2" t="inlineStr">
        <is>
          <t xml:space="preserve"/>
        </is>
      </c>
      <c r="M176" s="2" t="inlineStr">
        <is>
          <t xml:space="preserve"/>
        </is>
      </c>
      <c r="N176" s="2" t="inlineStr">
        <is>
          <t xml:space="preserve">Look at the real desktop window on Windows at 100%, 125% and 150% scaling.</t>
        </is>
      </c>
      <c r="O176" s="2" t="inlineStr">
        <is>
          <t xml:space="preserve">Native WebView2 and Windows DPI scaling were not tested; Chromium only.</t>
        </is>
      </c>
      <c r="P176" s="2" t="inlineStr">
        <is>
          <t xml:space="preserve">backend/startup_screen.py; frontend/index.html</t>
        </is>
      </c>
      <c r="Q176" s="2" t="inlineStr">
        <is>
          <t xml:space="preserve">Implemented</t>
        </is>
      </c>
      <c r="R176" s="2" t="inlineStr">
        <is>
          <t xml:space="preserve">Unclassified</t>
        </is>
      </c>
      <c r="S176" s="2" t="inlineStr">
        <is>
          <t xml:space="preserve">Not started</t>
        </is>
      </c>
    </row>
    <row r="177">
      <c r="A177" s="2" t="inlineStr">
        <is>
          <t xml:space="preserve">DEP-005</t>
        </is>
      </c>
      <c r="B177" s="2" t="inlineStr">
        <is>
          <t xml:space="preserve">Desktop and Startup</t>
        </is>
      </c>
      <c r="C177" s="2" t="inlineStr">
        <is>
          <t xml:space="preserve">Windows › Desktop lifecycle (WebView2)</t>
        </is>
      </c>
      <c r="D177" s="2" t="inlineStr">
        <is>
          <t xml:space="preserve">The Windows desktop app starts, restores data, saves files natively and shuts down cleanly.</t>
        </is>
      </c>
      <c r="E177" s="2" t="inlineStr">
        <is>
          <t xml:space="preserve">Not set</t>
        </is>
      </c>
      <c r="F177" s="2" t="inlineStr">
        <is>
          <t xml:space="preserve">Blocked</t>
        </is>
      </c>
      <c r="G177" s="2" t="inlineStr">
        <is>
          <t xml:space="preserve">Pending</t>
        </is>
      </c>
      <c r="H177" s="2" t="inlineStr">
        <is>
          <t xml:space="preserve"/>
        </is>
      </c>
      <c r="I177" s="2" t="inlineStr">
        <is>
          <t xml:space="preserve"/>
        </is>
      </c>
      <c r="J177" s="2" t="inlineStr">
        <is>
          <t xml:space="preserve"/>
        </is>
      </c>
      <c r="K177" s="2" t="inlineStr">
        <is>
          <t xml:space="preserve">Not verified in Linux CI: needs a Windows host (see docs/development/TESTING.md, platform limits).</t>
        </is>
      </c>
      <c r="L177" s="2" t="inlineStr">
        <is>
          <t xml:space="preserve"/>
        </is>
      </c>
      <c r="M177" s="2" t="inlineStr">
        <is>
          <t xml:space="preserve"/>
        </is>
      </c>
      <c r="N177" s="2" t="inlineStr">
        <is>
          <t xml:space="preserve"/>
        </is>
      </c>
      <c r="O177" s="2" t="inlineStr">
        <is>
          <t xml:space="preserve"/>
        </is>
      </c>
      <c r="P177" s="2" t="inlineStr">
        <is>
          <t xml:space="preserve">docs/deployment/WINDOWS_DESKTOP.md</t>
        </is>
      </c>
      <c r="Q177" s="2" t="inlineStr">
        <is>
          <t xml:space="preserve">Not assessed</t>
        </is>
      </c>
      <c r="R177" s="2" t="inlineStr">
        <is>
          <t xml:space="preserve">Unclassified</t>
        </is>
      </c>
      <c r="S177" s="2" t="inlineStr">
        <is>
          <t xml:space="preserve">Not started</t>
        </is>
      </c>
    </row>
    <row r="178">
      <c r="A178" s="2" t="inlineStr">
        <is>
          <t xml:space="preserve">DEP-007</t>
        </is>
      </c>
      <c r="B178" s="2" t="inlineStr">
        <is>
          <t xml:space="preserve">Desktop and Startup</t>
        </is>
      </c>
      <c r="C178" s="2" t="inlineStr">
        <is>
          <t xml:space="preserve">Windows › Installer</t>
        </is>
      </c>
      <c r="D178" s="2" t="inlineStr">
        <is>
          <t xml:space="preserve">The installer installs, upgrades and removes the application without touching user data.</t>
        </is>
      </c>
      <c r="E178" s="2" t="inlineStr">
        <is>
          <t xml:space="preserve">Not set</t>
        </is>
      </c>
      <c r="F178" s="2" t="inlineStr">
        <is>
          <t xml:space="preserve">Blocked</t>
        </is>
      </c>
      <c r="G178" s="2" t="inlineStr">
        <is>
          <t xml:space="preserve">Pending</t>
        </is>
      </c>
      <c r="H178" s="2" t="inlineStr">
        <is>
          <t xml:space="preserve"/>
        </is>
      </c>
      <c r="I178" s="2" t="inlineStr">
        <is>
          <t xml:space="preserve"/>
        </is>
      </c>
      <c r="J178" s="2" t="inlineStr">
        <is>
          <t xml:space="preserve"/>
        </is>
      </c>
      <c r="K178" s="2" t="inlineStr">
        <is>
          <t xml:space="preserve">Not verified in Linux CI: needs a Windows host (see docs/development/TESTING.md, platform limits).</t>
        </is>
      </c>
      <c r="L178" s="2" t="inlineStr">
        <is>
          <t xml:space="preserve"/>
        </is>
      </c>
      <c r="M178" s="2" t="inlineStr">
        <is>
          <t xml:space="preserve"/>
        </is>
      </c>
      <c r="N178" s="2" t="inlineStr">
        <is>
          <t xml:space="preserve"/>
        </is>
      </c>
      <c r="O178" s="2" t="inlineStr">
        <is>
          <t xml:space="preserve"/>
        </is>
      </c>
      <c r="P178" s="2" t="inlineStr">
        <is>
          <t xml:space="preserve">docs/deployment/WINDOWS_DESKTOP.md</t>
        </is>
      </c>
      <c r="Q178" s="2" t="inlineStr">
        <is>
          <t xml:space="preserve">Not assessed</t>
        </is>
      </c>
      <c r="R178" s="2" t="inlineStr">
        <is>
          <t xml:space="preserve">Unclassified</t>
        </is>
      </c>
      <c r="S178" s="2" t="inlineStr">
        <is>
          <t xml:space="preserve">Not started</t>
        </is>
      </c>
    </row>
    <row r="179">
      <c r="A179" s="2" t="inlineStr">
        <is>
          <t xml:space="preserve">DEP-006</t>
        </is>
      </c>
      <c r="B179" s="2" t="inlineStr">
        <is>
          <t xml:space="preserve">Server and Deployment</t>
        </is>
      </c>
      <c r="C179" s="2" t="inlineStr">
        <is>
          <t xml:space="preserve">Windows › Windows Service</t>
        </is>
      </c>
      <c r="D179" s="2" t="inlineStr">
        <is>
          <t xml:space="preserve">The server runs as a Windows service with start, stop and recovery.</t>
        </is>
      </c>
      <c r="E179" s="2" t="inlineStr">
        <is>
          <t xml:space="preserve">Not set</t>
        </is>
      </c>
      <c r="F179" s="2" t="inlineStr">
        <is>
          <t xml:space="preserve">Blocked</t>
        </is>
      </c>
      <c r="G179" s="2" t="inlineStr">
        <is>
          <t xml:space="preserve">Pending</t>
        </is>
      </c>
      <c r="H179" s="2" t="inlineStr">
        <is>
          <t xml:space="preserve"/>
        </is>
      </c>
      <c r="I179" s="2" t="inlineStr">
        <is>
          <t xml:space="preserve"/>
        </is>
      </c>
      <c r="J179" s="2" t="inlineStr">
        <is>
          <t xml:space="preserve"/>
        </is>
      </c>
      <c r="K179" s="2" t="inlineStr">
        <is>
          <t xml:space="preserve">Not verified in Linux CI: needs a Windows host (see docs/development/TESTING.md, platform limits).</t>
        </is>
      </c>
      <c r="L179" s="2" t="inlineStr">
        <is>
          <t xml:space="preserve"/>
        </is>
      </c>
      <c r="M179" s="2" t="inlineStr">
        <is>
          <t xml:space="preserve"/>
        </is>
      </c>
      <c r="N179" s="2" t="inlineStr">
        <is>
          <t xml:space="preserve"/>
        </is>
      </c>
      <c r="O179" s="2" t="inlineStr">
        <is>
          <t xml:space="preserve"/>
        </is>
      </c>
      <c r="P179" s="2" t="inlineStr">
        <is>
          <t xml:space="preserve">docs/deployment/WINDOWS_SERVICE.md</t>
        </is>
      </c>
      <c r="Q179" s="2" t="inlineStr">
        <is>
          <t xml:space="preserve">Not assessed</t>
        </is>
      </c>
      <c r="R179" s="2" t="inlineStr">
        <is>
          <t xml:space="preserve">Unclassified</t>
        </is>
      </c>
      <c r="S179" s="2" t="inlineStr">
        <is>
          <t xml:space="preserve">Not started</t>
        </is>
      </c>
    </row>
    <row r="180">
      <c r="A180" s="2" t="inlineStr">
        <is>
          <t xml:space="preserve">DEP-008</t>
        </is>
      </c>
      <c r="B180" s="2" t="inlineStr">
        <is>
          <t xml:space="preserve">Server and Deployment</t>
        </is>
      </c>
      <c r="C180" s="2" t="inlineStr">
        <is>
          <t xml:space="preserve">Linux › Docker and native packages</t>
        </is>
      </c>
      <c r="D180" s="2" t="inlineStr">
        <is>
          <t xml:space="preserve">Linux packages start, report health and keep data in the configured directory.</t>
        </is>
      </c>
      <c r="E180" s="2" t="inlineStr">
        <is>
          <t xml:space="preserve">Not set</t>
        </is>
      </c>
      <c r="F180" s="2" t="inlineStr">
        <is>
          <t xml:space="preserve">Not tested</t>
        </is>
      </c>
      <c r="G180" s="2" t="inlineStr">
        <is>
          <t xml:space="preserve">Pending</t>
        </is>
      </c>
      <c r="H180" s="2" t="inlineStr">
        <is>
          <t xml:space="preserve"/>
        </is>
      </c>
      <c r="I180" s="2" t="inlineStr">
        <is>
          <t xml:space="preserve"/>
        </is>
      </c>
      <c r="J180" s="2" t="inlineStr">
        <is>
          <t xml:space="preserve"/>
        </is>
      </c>
      <c r="K180" s="2" t="inlineStr">
        <is>
          <t xml:space="preserve"/>
        </is>
      </c>
      <c r="L180" s="2" t="inlineStr">
        <is>
          <t xml:space="preserve"/>
        </is>
      </c>
      <c r="M180" s="2" t="inlineStr">
        <is>
          <t xml:space="preserve"/>
        </is>
      </c>
      <c r="N180" s="2" t="inlineStr">
        <is>
          <t xml:space="preserve"/>
        </is>
      </c>
      <c r="O180" s="2" t="inlineStr">
        <is>
          <t xml:space="preserve"/>
        </is>
      </c>
      <c r="P180" s="2" t="inlineStr">
        <is>
          <t xml:space="preserve">docs/deployment/LINUX_DOCKER.md</t>
        </is>
      </c>
      <c r="Q180" s="2" t="inlineStr">
        <is>
          <t xml:space="preserve">Not assessed</t>
        </is>
      </c>
      <c r="R180" s="2" t="inlineStr">
        <is>
          <t xml:space="preserve">Unclassified</t>
        </is>
      </c>
      <c r="S180" s="2" t="inlineStr">
        <is>
          <t xml:space="preserve">Not started</t>
        </is>
      </c>
    </row>
    <row r="181">
      <c r="A181" s="2" t="inlineStr">
        <is>
          <t xml:space="preserve">DEP-009</t>
        </is>
      </c>
      <c r="B181" s="2" t="inlineStr">
        <is>
          <t xml:space="preserve">Server and Deployment</t>
        </is>
      </c>
      <c r="C181" s="2" t="inlineStr">
        <is>
          <t xml:space="preserve">Release › Release artifacts</t>
        </is>
      </c>
      <c r="D181" s="2" t="inlineStr">
        <is>
          <t xml:space="preserve">Release artifacts contain no examples or private data and match the published checksums.</t>
        </is>
      </c>
      <c r="E181" s="2" t="inlineStr">
        <is>
          <t xml:space="preserve">Not set</t>
        </is>
      </c>
      <c r="F181" s="2" t="inlineStr">
        <is>
          <t xml:space="preserve">Not tested</t>
        </is>
      </c>
      <c r="G181" s="2" t="inlineStr">
        <is>
          <t xml:space="preserve">Pending</t>
        </is>
      </c>
      <c r="H181" s="2" t="inlineStr">
        <is>
          <t xml:space="preserve"/>
        </is>
      </c>
      <c r="I181" s="2" t="inlineStr">
        <is>
          <t xml:space="preserve"/>
        </is>
      </c>
      <c r="J181" s="2" t="inlineStr">
        <is>
          <t xml:space="preserve"/>
        </is>
      </c>
      <c r="K181" s="2" t="inlineStr">
        <is>
          <t xml:space="preserve"/>
        </is>
      </c>
      <c r="L181" s="2" t="inlineStr">
        <is>
          <t xml:space="preserve"/>
        </is>
      </c>
      <c r="M181" s="2" t="inlineStr">
        <is>
          <t xml:space="preserve"/>
        </is>
      </c>
      <c r="N181" s="2" t="inlineStr">
        <is>
          <t xml:space="preserve"/>
        </is>
      </c>
      <c r="O181" s="2" t="inlineStr">
        <is>
          <t xml:space="preserve"/>
        </is>
      </c>
      <c r="P181" s="2" t="inlineStr">
        <is>
          <t xml:space="preserve">docs/deployment/RELEASES.md</t>
        </is>
      </c>
      <c r="Q181" s="2" t="inlineStr">
        <is>
          <t xml:space="preserve">Not assessed</t>
        </is>
      </c>
      <c r="R181" s="2" t="inlineStr">
        <is>
          <t xml:space="preserve">Unclassified</t>
        </is>
      </c>
      <c r="S181" s="2" t="inlineStr">
        <is>
          <t xml:space="preserve">Not started</t>
        </is>
      </c>
    </row>
    <row r="182">
      <c r="A182" s="2" t="inlineStr">
        <is>
          <t xml:space="preserve">UI-012</t>
        </is>
      </c>
      <c r="B182" s="2" t="inlineStr">
        <is>
          <t xml:space="preserve">Accessibility and Responsive Design</t>
        </is>
      </c>
      <c r="C182" s="2" t="inlineStr">
        <is>
          <t xml:space="preserve">Layout › Responsive layout</t>
        </is>
      </c>
      <c r="D182" s="2" t="inlineStr">
        <is>
          <t xml:space="preserve">Every page has no horizontal page scroll at 375, 800, 1280 and 1600 px in both themes.</t>
        </is>
      </c>
      <c r="E182" s="2" t="inlineStr">
        <is>
          <t xml:space="preserve">Not set</t>
        </is>
      </c>
      <c r="F182" s="2" t="inlineStr">
        <is>
          <t xml:space="preserve">Not tested</t>
        </is>
      </c>
      <c r="G182" s="2" t="inlineStr">
        <is>
          <t xml:space="preserve">Pending</t>
        </is>
      </c>
      <c r="H182" s="2" t="inlineStr">
        <is>
          <t xml:space="preserve"/>
        </is>
      </c>
      <c r="I182" s="2" t="inlineStr">
        <is>
          <t xml:space="preserve"/>
        </is>
      </c>
      <c r="J182" s="2" t="inlineStr">
        <is>
          <t xml:space="preserve"/>
        </is>
      </c>
      <c r="K182" s="2" t="inlineStr">
        <is>
          <t xml:space="preserve"/>
        </is>
      </c>
      <c r="L182" s="2" t="inlineStr">
        <is>
          <t xml:space="preserve"/>
        </is>
      </c>
      <c r="M182" s="2" t="inlineStr">
        <is>
          <t xml:space="preserve"/>
        </is>
      </c>
      <c r="N182" s="2" t="inlineStr">
        <is>
          <t xml:space="preserve"/>
        </is>
      </c>
      <c r="O182" s="2" t="inlineStr">
        <is>
          <t xml:space="preserve"/>
        </is>
      </c>
      <c r="P182" s="2" t="inlineStr">
        <is>
          <t xml:space="preserve">docs/architecture/DESIGN_SYSTEM.md; frontend/tests/refinement-completion.spec.ts</t>
        </is>
      </c>
      <c r="Q182" s="2" t="inlineStr">
        <is>
          <t xml:space="preserve">Not assessed</t>
        </is>
      </c>
      <c r="R182" s="2" t="inlineStr">
        <is>
          <t xml:space="preserve">Unclassified</t>
        </is>
      </c>
      <c r="S182" s="2" t="inlineStr">
        <is>
          <t xml:space="preserve">Not started</t>
        </is>
      </c>
    </row>
    <row r="183">
      <c r="A183" s="2" t="inlineStr">
        <is>
          <t xml:space="preserve">UI-013</t>
        </is>
      </c>
      <c r="B183" s="2" t="inlineStr">
        <is>
          <t xml:space="preserve">Accessibility and Responsive Design</t>
        </is>
      </c>
      <c r="C183" s="2" t="inlineStr">
        <is>
          <t xml:space="preserve">Accessibility › Keyboard and focus</t>
        </is>
      </c>
      <c r="D183" s="2" t="inlineStr">
        <is>
          <t xml:space="preserve">All controls are keyboard reachable, focus rings are visible and unclipped, and DOM order equals visual order.</t>
        </is>
      </c>
      <c r="E183" s="2" t="inlineStr">
        <is>
          <t xml:space="preserve">Not set</t>
        </is>
      </c>
      <c r="F183" s="2" t="inlineStr">
        <is>
          <t xml:space="preserve">Not tested</t>
        </is>
      </c>
      <c r="G183" s="2" t="inlineStr">
        <is>
          <t xml:space="preserve">Pending</t>
        </is>
      </c>
      <c r="H183" s="2" t="inlineStr">
        <is>
          <t xml:space="preserve"/>
        </is>
      </c>
      <c r="I183" s="2" t="inlineStr">
        <is>
          <t xml:space="preserve"/>
        </is>
      </c>
      <c r="J183" s="2" t="inlineStr">
        <is>
          <t xml:space="preserve"/>
        </is>
      </c>
      <c r="K183" s="2" t="inlineStr">
        <is>
          <t xml:space="preserve"/>
        </is>
      </c>
      <c r="L183" s="2" t="inlineStr">
        <is>
          <t xml:space="preserve"/>
        </is>
      </c>
      <c r="M183" s="2" t="inlineStr">
        <is>
          <t xml:space="preserve"/>
        </is>
      </c>
      <c r="N183" s="2" t="inlineStr">
        <is>
          <t xml:space="preserve"/>
        </is>
      </c>
      <c r="O183" s="2" t="inlineStr">
        <is>
          <t xml:space="preserve"/>
        </is>
      </c>
      <c r="P183" s="2" t="inlineStr">
        <is>
          <t xml:space="preserve">docs/architecture/DESIGN_SYSTEM.md; frontend/tests/a11y-audit.spec.ts, frontend/tests/navigation-a11y.spec.ts</t>
        </is>
      </c>
      <c r="Q183" s="2" t="inlineStr">
        <is>
          <t xml:space="preserve">Not assessed</t>
        </is>
      </c>
      <c r="R183" s="2" t="inlineStr">
        <is>
          <t xml:space="preserve">Unclassified</t>
        </is>
      </c>
      <c r="S183" s="2" t="inlineStr">
        <is>
          <t xml:space="preserve">Not started</t>
        </is>
      </c>
    </row>
    <row r="184">
      <c r="A184" s="2" t="inlineStr">
        <is>
          <t xml:space="preserve">UI-022</t>
        </is>
      </c>
      <c r="B184" s="2" t="inlineStr">
        <is>
          <t xml:space="preserve">Accessibility and Responsive Design</t>
        </is>
      </c>
      <c r="C184" s="2" t="inlineStr">
        <is>
          <t xml:space="preserve">All pages › Rounded, consistent keyboard focus ring and interaction states</t>
        </is>
      </c>
      <c r="D184" s="2" t="inlineStr">
        <is>
          <t xml:space="preserve">Keyboard focus is one clearly visible rounded ring from the shared tokens; hover, radius, padding and alignment of shared controls are consistent.</t>
        </is>
      </c>
      <c r="E184" s="2" t="inlineStr">
        <is>
          <t xml:space="preserve">Not set</t>
        </is>
      </c>
      <c r="F184" s="2" t="inlineStr">
        <is>
          <t xml:space="preserve">Not tested</t>
        </is>
      </c>
      <c r="G184" s="2" t="inlineStr">
        <is>
          <t xml:space="preserve">Pending</t>
        </is>
      </c>
      <c r="H184" s="2" t="inlineStr">
        <is>
          <t xml:space="preserve">frontend/tests/status-consistency-r6.spec.ts (keyboard walk of SoD pages and Settings in both themes); frontend/tests/a11y-audit.spec.ts; frontend/tests/sod-reviews-r6.spec.ts</t>
        </is>
      </c>
      <c r="I184" s="2" t="inlineStr">
        <is>
          <t xml:space="preserve"/>
        </is>
      </c>
      <c r="J184" s="2" t="inlineStr">
        <is>
          <t xml:space="preserve"/>
        </is>
      </c>
      <c r="K184" s="2" t="inlineStr">
        <is>
          <t xml:space="preserve"/>
        </is>
      </c>
      <c r="L184" s="2" t="inlineStr">
        <is>
          <t xml:space="preserve"/>
        </is>
      </c>
      <c r="M184" s="2" t="inlineStr">
        <is>
          <t xml:space="preserve"/>
        </is>
      </c>
      <c r="N184" s="2" t="inlineStr">
        <is>
          <t xml:space="preserve">Tab through the main pages in light and dark and judge whether the ring is clear and consistent.</t>
        </is>
      </c>
      <c r="O184" s="2" t="inlineStr">
        <is>
          <t xml:space="preserve">The keyboard walk covers the SoD pages and Settings; Role Lookup, User Access and dialogs were not walked by the new check (existing accessibility specs cover them).</t>
        </is>
      </c>
      <c r="P184" s="2" t="inlineStr">
        <is>
          <t xml:space="preserve">frontend/src/styles/components.css; frontend/src/styles/tokens.css</t>
        </is>
      </c>
      <c r="Q184" s="2" t="inlineStr">
        <is>
          <t xml:space="preserve">Implemented</t>
        </is>
      </c>
      <c r="R184" s="2" t="inlineStr">
        <is>
          <t xml:space="preserve">Unclassified</t>
        </is>
      </c>
      <c r="S184" s="2" t="inlineStr">
        <is>
          <t xml:space="preserve">Not started</t>
        </is>
      </c>
    </row>
    <row r="185">
      <c r="A185" s="2" t="inlineStr">
        <is>
          <t xml:space="preserve">DEP-001</t>
        </is>
      </c>
      <c r="B185" s="2" t="inlineStr">
        <is>
          <t xml:space="preserve">Security and Data Integrity</t>
        </is>
      </c>
      <c r="C185" s="2" t="inlineStr">
        <is>
          <t xml:space="preserve">Runtime › Local binding and origin checks</t>
        </is>
      </c>
      <c r="D185" s="2" t="inlineStr">
        <is>
          <t xml:space="preserve">The desktop server binds only to 127.0.0.1 and enforces host and origin checks.</t>
        </is>
      </c>
      <c r="E185" s="2" t="inlineStr">
        <is>
          <t xml:space="preserve">Not set</t>
        </is>
      </c>
      <c r="F185" s="2" t="inlineStr">
        <is>
          <t xml:space="preserve">Not tested</t>
        </is>
      </c>
      <c r="G185" s="2" t="inlineStr">
        <is>
          <t xml:space="preserve">Pending</t>
        </is>
      </c>
      <c r="H185" s="2" t="inlineStr">
        <is>
          <t xml:space="preserve"/>
        </is>
      </c>
      <c r="I185" s="2" t="inlineStr">
        <is>
          <t xml:space="preserve"/>
        </is>
      </c>
      <c r="J185" s="2" t="inlineStr">
        <is>
          <t xml:space="preserve"/>
        </is>
      </c>
      <c r="K185" s="2" t="inlineStr">
        <is>
          <t xml:space="preserve"/>
        </is>
      </c>
      <c r="L185" s="2" t="inlineStr">
        <is>
          <t xml:space="preserve"/>
        </is>
      </c>
      <c r="M185" s="2" t="inlineStr">
        <is>
          <t xml:space="preserve"/>
        </is>
      </c>
      <c r="N185" s="2" t="inlineStr">
        <is>
          <t xml:space="preserve"/>
        </is>
      </c>
      <c r="O185" s="2" t="inlineStr">
        <is>
          <t xml:space="preserve"/>
        </is>
      </c>
      <c r="P185" s="2" t="inlineStr">
        <is>
          <t xml:space="preserve">docs/architecture/SECURITY.md; frontend/tests/desktop.spec.ts</t>
        </is>
      </c>
      <c r="Q185" s="2" t="inlineStr">
        <is>
          <t xml:space="preserve">Not assessed</t>
        </is>
      </c>
      <c r="R185" s="2" t="inlineStr">
        <is>
          <t xml:space="preserve">Unclassified</t>
        </is>
      </c>
      <c r="S185" s="2" t="inlineStr">
        <is>
          <t xml:space="preserve">Not started</t>
        </is>
      </c>
    </row>
    <row r="186">
      <c r="A186" s="2" t="inlineStr">
        <is>
          <t xml:space="preserve">DEP-002</t>
        </is>
      </c>
      <c r="B186" s="2" t="inlineStr">
        <is>
          <t xml:space="preserve">Security and Data Integrity</t>
        </is>
      </c>
      <c r="C186" s="2" t="inlineStr">
        <is>
          <t xml:space="preserve">Runtime › Server mode authentication</t>
        </is>
      </c>
      <c r="D186" s="2" t="inlineStr">
        <is>
          <t xml:space="preserve">Server mode uses separate storage, authenticates requests and keeps uploads local to the server.</t>
        </is>
      </c>
      <c r="E186" s="2" t="inlineStr">
        <is>
          <t xml:space="preserve">Not set</t>
        </is>
      </c>
      <c r="F186" s="2" t="inlineStr">
        <is>
          <t xml:space="preserve">Not tested</t>
        </is>
      </c>
      <c r="G186" s="2" t="inlineStr">
        <is>
          <t xml:space="preserve">Pending</t>
        </is>
      </c>
      <c r="H186" s="2" t="inlineStr">
        <is>
          <t xml:space="preserve"/>
        </is>
      </c>
      <c r="I186" s="2" t="inlineStr">
        <is>
          <t xml:space="preserve"/>
        </is>
      </c>
      <c r="J186" s="2" t="inlineStr">
        <is>
          <t xml:space="preserve"/>
        </is>
      </c>
      <c r="K186" s="2" t="inlineStr">
        <is>
          <t xml:space="preserve"/>
        </is>
      </c>
      <c r="L186" s="2" t="inlineStr">
        <is>
          <t xml:space="preserve">SEC-02; SEC-03</t>
        </is>
      </c>
      <c r="M186" s="2" t="inlineStr">
        <is>
          <t xml:space="preserve">Throttle failed Basic logins and tighten secret-file permissions after a compatibility review (see SEC-003).</t>
        </is>
      </c>
      <c r="N186" s="2" t="inlineStr">
        <is>
          <t xml:space="preserve"/>
        </is>
      </c>
      <c r="O186" s="2" t="inlineStr">
        <is>
          <t xml:space="preserve"/>
        </is>
      </c>
      <c r="P186" s="2" t="inlineStr">
        <is>
          <t xml:space="preserve">docs/deployment/SECURITY.md; frontend/tests/server-deployment.spec.ts</t>
        </is>
      </c>
      <c r="Q186" s="2" t="inlineStr">
        <is>
          <t xml:space="preserve">Not assessed</t>
        </is>
      </c>
      <c r="R186" s="2" t="inlineStr">
        <is>
          <t xml:space="preserve">Unclassified</t>
        </is>
      </c>
      <c r="S186" s="2" t="inlineStr">
        <is>
          <t xml:space="preserve">Not started</t>
        </is>
      </c>
    </row>
    <row r="187">
      <c r="A187" s="2" t="inlineStr">
        <is>
          <t xml:space="preserve">DEP-003</t>
        </is>
      </c>
      <c r="B187" s="2" t="inlineStr">
        <is>
          <t xml:space="preserve">Security and Data Integrity</t>
        </is>
      </c>
      <c r="C187" s="2" t="inlineStr">
        <is>
          <t xml:space="preserve">Privacy › No private data in packages</t>
        </is>
      </c>
      <c r="D187" s="2" t="inlineStr">
        <is>
          <t xml:space="preserve">Role exports, local settings, logs and credentials are never committed or packaged.</t>
        </is>
      </c>
      <c r="E187" s="2" t="inlineStr">
        <is>
          <t xml:space="preserve">Not set</t>
        </is>
      </c>
      <c r="F187" s="2" t="inlineStr">
        <is>
          <t xml:space="preserve">Not tested</t>
        </is>
      </c>
      <c r="G187" s="2" t="inlineStr">
        <is>
          <t xml:space="preserve">Pending</t>
        </is>
      </c>
      <c r="H187" s="2" t="inlineStr">
        <is>
          <t xml:space="preserve"/>
        </is>
      </c>
      <c r="I187" s="2" t="inlineStr">
        <is>
          <t xml:space="preserve"/>
        </is>
      </c>
      <c r="J187" s="2" t="inlineStr">
        <is>
          <t xml:space="preserve"/>
        </is>
      </c>
      <c r="K187" s="2" t="inlineStr">
        <is>
          <t xml:space="preserve"/>
        </is>
      </c>
      <c r="L187" s="2" t="inlineStr">
        <is>
          <t xml:space="preserve"/>
        </is>
      </c>
      <c r="M187" s="2" t="inlineStr">
        <is>
          <t xml:space="preserve"/>
        </is>
      </c>
      <c r="N187" s="2" t="inlineStr">
        <is>
          <t xml:space="preserve"/>
        </is>
      </c>
      <c r="O187" s="2" t="inlineStr">
        <is>
          <t xml:space="preserve"/>
        </is>
      </c>
      <c r="P187" s="2" t="inlineStr">
        <is>
          <t xml:space="preserve">docs/architecture/PRIVACY.md</t>
        </is>
      </c>
      <c r="Q187" s="2" t="inlineStr">
        <is>
          <t xml:space="preserve">Not assessed</t>
        </is>
      </c>
      <c r="R187" s="2" t="inlineStr">
        <is>
          <t xml:space="preserve">Unclassified</t>
        </is>
      </c>
      <c r="S187" s="2" t="inlineStr">
        <is>
          <t xml:space="preserve">Not started</t>
        </is>
      </c>
    </row>
    <row r="188">
      <c r="A188" s="2" t="inlineStr">
        <is>
          <t xml:space="preserve">DEP-004</t>
        </is>
      </c>
      <c r="B188" s="2" t="inlineStr">
        <is>
          <t xml:space="preserve">Security and Data Integrity</t>
        </is>
      </c>
      <c r="C188" s="2" t="inlineStr">
        <is>
          <t xml:space="preserve">Privacy › No cached role data</t>
        </is>
      </c>
      <c r="D188" s="2" t="inlineStr">
        <is>
          <t xml:space="preserve">No service worker or browser cache stores role data.</t>
        </is>
      </c>
      <c r="E188" s="2" t="inlineStr">
        <is>
          <t xml:space="preserve">Not set</t>
        </is>
      </c>
      <c r="F188" s="2" t="inlineStr">
        <is>
          <t xml:space="preserve">Not tested</t>
        </is>
      </c>
      <c r="G188" s="2" t="inlineStr">
        <is>
          <t xml:space="preserve">Pending</t>
        </is>
      </c>
      <c r="H188" s="2" t="inlineStr">
        <is>
          <t xml:space="preserve"/>
        </is>
      </c>
      <c r="I188" s="2" t="inlineStr">
        <is>
          <t xml:space="preserve"/>
        </is>
      </c>
      <c r="J188" s="2" t="inlineStr">
        <is>
          <t xml:space="preserve"/>
        </is>
      </c>
      <c r="K188" s="2" t="inlineStr">
        <is>
          <t xml:space="preserve"/>
        </is>
      </c>
      <c r="L188" s="2" t="inlineStr">
        <is>
          <t xml:space="preserve"/>
        </is>
      </c>
      <c r="M188" s="2" t="inlineStr">
        <is>
          <t xml:space="preserve"/>
        </is>
      </c>
      <c r="N188" s="2" t="inlineStr">
        <is>
          <t xml:space="preserve"/>
        </is>
      </c>
      <c r="O188" s="2" t="inlineStr">
        <is>
          <t xml:space="preserve"/>
        </is>
      </c>
      <c r="P188" s="2" t="inlineStr">
        <is>
          <t xml:space="preserve">docs/architecture/PRIVACY.md; frontend/tests/enterprise.spec.ts</t>
        </is>
      </c>
      <c r="Q188" s="2" t="inlineStr">
        <is>
          <t xml:space="preserve">Not assessed</t>
        </is>
      </c>
      <c r="R188" s="2" t="inlineStr">
        <is>
          <t xml:space="preserve">Unclassified</t>
        </is>
      </c>
      <c r="S188" s="2" t="inlineStr">
        <is>
          <t xml:space="preserve">Not started</t>
        </is>
      </c>
    </row>
    <row r="189">
      <c r="A189" s="2" t="inlineStr">
        <is>
          <t xml:space="preserve">SEC-001</t>
        </is>
      </c>
      <c r="B189" s="2" t="inlineStr">
        <is>
          <t xml:space="preserve">Security and Data Integrity</t>
        </is>
      </c>
      <c r="C189" s="2" t="inlineStr">
        <is>
          <t xml:space="preserve">API › Authentication boundary</t>
        </is>
      </c>
      <c r="D189" s="2" t="inlineStr">
        <is>
          <t xml:space="preserve">Every API operation refuses requests without the launch capability, with a foreign origin or host; in server mode every operation requires credentials and unsafe methods are refused.</t>
        </is>
      </c>
      <c r="E189" s="2" t="inlineStr">
        <is>
          <t xml:space="preserve">High</t>
        </is>
      </c>
      <c r="F189" s="2" t="inlineStr">
        <is>
          <t xml:space="preserve">Not tested</t>
        </is>
      </c>
      <c r="G189" s="2" t="inlineStr">
        <is>
          <t xml:space="preserve">Pending</t>
        </is>
      </c>
      <c r="H189" s="2" t="inlineStr">
        <is>
          <t xml:space="preserve">backend/tests/test_security_surface.py; backend/tests/test_server.py</t>
        </is>
      </c>
      <c r="I189" s="2" t="inlineStr">
        <is>
          <t xml:space="preserve"/>
        </is>
      </c>
      <c r="J189" s="2" t="inlineStr">
        <is>
          <t xml:space="preserve"/>
        </is>
      </c>
      <c r="K189" s="2" t="inlineStr">
        <is>
          <t xml:space="preserve">122 operations probed in the R8 security review.</t>
        </is>
      </c>
      <c r="L189" s="2" t="inlineStr">
        <is>
          <t xml:space="preserve">Controls verified (SECURITY_REVIEW_R8)</t>
        </is>
      </c>
      <c r="M189" s="2" t="inlineStr">
        <is>
          <t xml:space="preserve"/>
        </is>
      </c>
      <c r="N189" s="2" t="inlineStr">
        <is>
          <t xml:space="preserve">Review the boundary description in the security guide against the deployment.</t>
        </is>
      </c>
      <c r="O189" s="2" t="inlineStr">
        <is>
          <t xml:space="preserve"/>
        </is>
      </c>
      <c r="P189" s="2" t="inlineStr">
        <is>
          <t xml:space="preserve">backend/main.py; backend/deployment.py; docs/development/SECURITY_REVIEW_R8.md</t>
        </is>
      </c>
      <c r="Q189" s="2" t="inlineStr">
        <is>
          <t xml:space="preserve">Implemented</t>
        </is>
      </c>
      <c r="R189" s="2" t="inlineStr">
        <is>
          <t xml:space="preserve">Unclassified</t>
        </is>
      </c>
      <c r="S189" s="2" t="inlineStr">
        <is>
          <t xml:space="preserve">Not started</t>
        </is>
      </c>
    </row>
    <row r="190">
      <c r="A190" s="2" t="inlineStr">
        <is>
          <t xml:space="preserve">SEC-002</t>
        </is>
      </c>
      <c r="B190" s="2" t="inlineStr">
        <is>
          <t xml:space="preserve">Security and Data Integrity</t>
        </is>
      </c>
      <c r="C190" s="2" t="inlineStr">
        <is>
          <t xml:space="preserve">Exports › Spreadsheet formula neutralisation</t>
        </is>
      </c>
      <c r="D190" s="2" t="inlineStr">
        <is>
          <t xml:space="preserve">Every CSV export neutralises leading = + - @, tab, carriage return, control characters and a byte-order mark through one shared function.</t>
        </is>
      </c>
      <c r="E190" s="2" t="inlineStr">
        <is>
          <t xml:space="preserve">Medium</t>
        </is>
      </c>
      <c r="F190" s="2" t="inlineStr">
        <is>
          <t xml:space="preserve">Not tested</t>
        </is>
      </c>
      <c r="G190" s="2" t="inlineStr">
        <is>
          <t xml:space="preserve">Pending</t>
        </is>
      </c>
      <c r="H190" s="2" t="inlineStr">
        <is>
          <t xml:space="preserve">backend/tests/test_security_surface.py; backend/tests/test_assignment_exports.py</t>
        </is>
      </c>
      <c r="I190" s="2" t="inlineStr">
        <is>
          <t xml:space="preserve"/>
        </is>
      </c>
      <c r="J190" s="2" t="inlineStr">
        <is>
          <t xml:space="preserve"/>
        </is>
      </c>
      <c r="K190" s="2" t="inlineStr">
        <is>
          <t xml:space="preserve"/>
        </is>
      </c>
      <c r="L190" s="2" t="inlineStr">
        <is>
          <t xml:space="preserve">SEC-01 (resolved in R8)</t>
        </is>
      </c>
      <c r="M190" s="2" t="inlineStr">
        <is>
          <t xml:space="preserve"/>
        </is>
      </c>
      <c r="N190" s="2" t="inlineStr">
        <is>
          <t xml:space="preserve">Open an export containing a value that starts with = in a spreadsheet.</t>
        </is>
      </c>
      <c r="O190" s="2" t="inlineStr">
        <is>
          <t xml:space="preserve"/>
        </is>
      </c>
      <c r="P190" s="2" t="inlineStr">
        <is>
          <t xml:space="preserve">backend/csv_exports.py; backend/routers/data_sources.py</t>
        </is>
      </c>
      <c r="Q190" s="2" t="inlineStr">
        <is>
          <t xml:space="preserve">Implemented</t>
        </is>
      </c>
      <c r="R190" s="2" t="inlineStr">
        <is>
          <t xml:space="preserve">Unclassified</t>
        </is>
      </c>
      <c r="S190" s="2" t="inlineStr">
        <is>
          <t xml:space="preserve">Not started</t>
        </is>
      </c>
    </row>
    <row r="191">
      <c r="A191" s="2" t="inlineStr">
        <is>
          <t xml:space="preserve">SEC-003</t>
        </is>
      </c>
      <c r="B191" s="2" t="inlineStr">
        <is>
          <t xml:space="preserve">Security and Data Integrity</t>
        </is>
      </c>
      <c r="C191" s="2" t="inlineStr">
        <is>
          <t xml:space="preserve">Server › Access secret and brute-force protection</t>
        </is>
      </c>
      <c r="D191" s="2" t="inlineStr">
        <is>
          <t xml:space="preserve">Basic or proxy authentication uses a 32 to 256 character secret, constant-time comparison and a secret file that other users cannot read.</t>
        </is>
      </c>
      <c r="E191" s="2" t="inlineStr">
        <is>
          <t xml:space="preserve">Medium</t>
        </is>
      </c>
      <c r="F191" s="2" t="inlineStr">
        <is>
          <t xml:space="preserve">Not tested</t>
        </is>
      </c>
      <c r="G191" s="2" t="inlineStr">
        <is>
          <t xml:space="preserve">Pending</t>
        </is>
      </c>
      <c r="H191" s="2" t="inlineStr">
        <is>
          <t xml:space="preserve">backend/tests/test_security_surface.py; backend/tests/test_server.py</t>
        </is>
      </c>
      <c r="I191" s="2" t="inlineStr">
        <is>
          <t xml:space="preserve"/>
        </is>
      </c>
      <c r="J191" s="2" t="inlineStr">
        <is>
          <t xml:space="preserve"/>
        </is>
      </c>
      <c r="K191" s="2" t="inlineStr">
        <is>
          <t xml:space="preserve">No throttling of failed Basic logins; group-readable secret files are accepted (documented limitations). Update R8.1: failed Basic sign-ins are throttled (R81-01) and group-readable secrets need an explicit opt-in (R81-02).</t>
        </is>
      </c>
      <c r="L191" s="2" t="inlineStr">
        <is>
          <t xml:space="preserve">SEC-02; SEC-03</t>
        </is>
      </c>
      <c r="M191" s="2" t="inlineStr">
        <is>
          <t xml:space="preserve">Share throttle state across workers if the runtime ever scales out.</t>
        </is>
      </c>
      <c r="N191" s="2" t="inlineStr">
        <is>
          <t xml:space="preserve">Confirm the proxy or gateway throttles failed logins.</t>
        </is>
      </c>
      <c r="O191" s="2" t="inlineStr">
        <is>
          <t xml:space="preserve">Throttling is per process (see R81-01); distributed guessing relies on the 32 character secret.</t>
        </is>
      </c>
      <c r="P191" s="2" t="inlineStr">
        <is>
          <t xml:space="preserve">backend/deployment.py; docs/deployment/SECURITY.md</t>
        </is>
      </c>
      <c r="Q191" s="2" t="inlineStr">
        <is>
          <t xml:space="preserve">Implemented</t>
        </is>
      </c>
      <c r="R191" s="2" t="inlineStr">
        <is>
          <t xml:space="preserve">Unclassified</t>
        </is>
      </c>
      <c r="S191" s="2" t="inlineStr">
        <is>
          <t xml:space="preserve">Not started</t>
        </is>
      </c>
    </row>
    <row r="192">
      <c r="A192" s="2" t="inlineStr">
        <is>
          <t xml:space="preserve">SEC-004</t>
        </is>
      </c>
      <c r="B192" s="2" t="inlineStr">
        <is>
          <t xml:space="preserve">Security and Data Integrity</t>
        </is>
      </c>
      <c r="C192" s="2" t="inlineStr">
        <is>
          <t xml:space="preserve">Server › Source path confinement and uploads</t>
        </is>
      </c>
      <c r="D192" s="2" t="inlineStr">
        <is>
          <t xml:space="preserve">Server mode reads CSVs only under the source root or managed uploads (symbolic links resolved) and uploads use server-generated names and bounded streams.</t>
        </is>
      </c>
      <c r="E192" s="2" t="inlineStr">
        <is>
          <t xml:space="preserve">High</t>
        </is>
      </c>
      <c r="F192" s="2" t="inlineStr">
        <is>
          <t xml:space="preserve">Not tested</t>
        </is>
      </c>
      <c r="G192" s="2" t="inlineStr">
        <is>
          <t xml:space="preserve">Pending</t>
        </is>
      </c>
      <c r="H192" s="2" t="inlineStr">
        <is>
          <t xml:space="preserve">backend/tests/test_server.py</t>
        </is>
      </c>
      <c r="I192" s="2" t="inlineStr">
        <is>
          <t xml:space="preserve"/>
        </is>
      </c>
      <c r="J192" s="2" t="inlineStr">
        <is>
          <t xml:space="preserve"/>
        </is>
      </c>
      <c r="K192" s="2" t="inlineStr">
        <is>
          <t xml:space="preserve"/>
        </is>
      </c>
      <c r="L192" s="2" t="inlineStr">
        <is>
          <t xml:space="preserve">Controls verified (SECURITY_REVIEW_R8)</t>
        </is>
      </c>
      <c r="M192" s="2" t="inlineStr">
        <is>
          <t xml:space="preserve"/>
        </is>
      </c>
      <c r="N192" s="2" t="inlineStr">
        <is>
          <t xml:space="preserve"/>
        </is>
      </c>
      <c r="O192" s="2" t="inlineStr">
        <is>
          <t xml:space="preserve"/>
        </is>
      </c>
      <c r="P192" s="2" t="inlineStr">
        <is>
          <t xml:space="preserve">backend/deployment.py; backend/server_uploads.py</t>
        </is>
      </c>
      <c r="Q192" s="2" t="inlineStr">
        <is>
          <t xml:space="preserve">Implemented</t>
        </is>
      </c>
      <c r="R192" s="2" t="inlineStr">
        <is>
          <t xml:space="preserve">Unclassified</t>
        </is>
      </c>
      <c r="S192" s="2" t="inlineStr">
        <is>
          <t xml:space="preserve">Not started</t>
        </is>
      </c>
    </row>
    <row r="193">
      <c r="A193" s="2" t="inlineStr">
        <is>
          <t xml:space="preserve">SEC-005</t>
        </is>
      </c>
      <c r="B193" s="2" t="inlineStr">
        <is>
          <t xml:space="preserve">Security and Data Integrity</t>
        </is>
      </c>
      <c r="C193" s="2" t="inlineStr">
        <is>
          <t xml:space="preserve">API › Response headers and content security policy</t>
        </is>
      </c>
      <c r="D193" s="2" t="inlineStr">
        <is>
          <t xml:space="preserve">Responses carry nosniff, frame denial and no-store for API calls; the content security policy forbids unsafe scripts.</t>
        </is>
      </c>
      <c r="E193" s="2" t="inlineStr">
        <is>
          <t xml:space="preserve">Low</t>
        </is>
      </c>
      <c r="F193" s="2" t="inlineStr">
        <is>
          <t xml:space="preserve">Not tested</t>
        </is>
      </c>
      <c r="G193" s="2" t="inlineStr">
        <is>
          <t xml:space="preserve">Pending</t>
        </is>
      </c>
      <c r="H193" s="2" t="inlineStr">
        <is>
          <t xml:space="preserve">backend/tests/test_security_surface.py</t>
        </is>
      </c>
      <c r="I193" s="2" t="inlineStr">
        <is>
          <t xml:space="preserve"/>
        </is>
      </c>
      <c r="J193" s="2" t="inlineStr">
        <is>
          <t xml:space="preserve"/>
        </is>
      </c>
      <c r="K193" s="2" t="inlineStr">
        <is>
          <t xml:space="preserve"/>
        </is>
      </c>
      <c r="L193" s="2" t="inlineStr">
        <is>
          <t xml:space="preserve">SEC-04</t>
        </is>
      </c>
      <c r="M193" s="2" t="inlineStr">
        <is>
          <t xml:space="preserve">Add a Permissions-Policy header and document HSTS at the TLS-terminating proxy.</t>
        </is>
      </c>
      <c r="N193" s="2" t="inlineStr">
        <is>
          <t xml:space="preserve"/>
        </is>
      </c>
      <c r="O193" s="2" t="inlineStr">
        <is>
          <t xml:space="preserve"/>
        </is>
      </c>
      <c r="P193" s="2" t="inlineStr">
        <is>
          <t xml:space="preserve">backend/main.py</t>
        </is>
      </c>
      <c r="Q193" s="2" t="inlineStr">
        <is>
          <t xml:space="preserve">Implemented</t>
        </is>
      </c>
      <c r="R193" s="2" t="inlineStr">
        <is>
          <t xml:space="preserve">Unclassified</t>
        </is>
      </c>
      <c r="S193" s="2" t="inlineStr">
        <is>
          <t xml:space="preserve">Not started</t>
        </is>
      </c>
    </row>
    <row r="194">
      <c r="A194" s="2" t="inlineStr">
        <is>
          <t xml:space="preserve">SEC-006</t>
        </is>
      </c>
      <c r="B194" s="2" t="inlineStr">
        <is>
          <t xml:space="preserve">Security and Data Integrity</t>
        </is>
      </c>
      <c r="C194" s="2" t="inlineStr">
        <is>
          <t xml:space="preserve">Dependencies › Vulnerability audits</t>
        </is>
      </c>
      <c r="D194" s="2" t="inlineStr">
        <is>
          <t xml:space="preserve">npm audit and pip-audit report no known vulnerabilities for runtime, development and desktop requirements (point in time).</t>
        </is>
      </c>
      <c r="E194" s="2" t="inlineStr">
        <is>
          <t xml:space="preserve">High</t>
        </is>
      </c>
      <c r="F194" s="2" t="inlineStr">
        <is>
          <t xml:space="preserve">Not tested</t>
        </is>
      </c>
      <c r="G194" s="2" t="inlineStr">
        <is>
          <t xml:space="preserve">Pending</t>
        </is>
      </c>
      <c r="H194" s="2" t="inlineStr">
        <is>
          <t xml:space="preserve">scripts/run-tests.py</t>
        </is>
      </c>
      <c r="I194" s="2" t="inlineStr">
        <is>
          <t xml:space="preserve"/>
        </is>
      </c>
      <c r="J194" s="2" t="inlineStr">
        <is>
          <t xml:space="preserve"/>
        </is>
      </c>
      <c r="K194" s="2" t="inlineStr">
        <is>
          <t xml:space="preserve">Run on 2026-10-31: npm audit 0 vulnerabilities; pip-audit none. An audit is not proof of security.</t>
        </is>
      </c>
      <c r="L194" s="2" t="inlineStr">
        <is>
          <t xml:space="preserve"/>
        </is>
      </c>
      <c r="M194" s="2" t="inlineStr">
        <is>
          <t xml:space="preserve"/>
        </is>
      </c>
      <c r="N194" s="2" t="inlineStr">
        <is>
          <t xml:space="preserve">Repeat before every release.</t>
        </is>
      </c>
      <c r="O194" s="2" t="inlineStr">
        <is>
          <t xml:space="preserve"/>
        </is>
      </c>
      <c r="P194" s="2" t="inlineStr">
        <is>
          <t xml:space="preserve">docs/development/DEPENDENCY_MAINTENANCE.md; docs/development/TESTING.md</t>
        </is>
      </c>
      <c r="Q194" s="2" t="inlineStr">
        <is>
          <t xml:space="preserve">Implemented</t>
        </is>
      </c>
      <c r="R194" s="2" t="inlineStr">
        <is>
          <t xml:space="preserve">Unclassified</t>
        </is>
      </c>
      <c r="S194" s="2" t="inlineStr">
        <is>
          <t xml:space="preserve">Not started</t>
        </is>
      </c>
    </row>
    <row r="195">
      <c r="A195" s="2" t="inlineStr">
        <is>
          <t xml:space="preserve">SEC-007</t>
        </is>
      </c>
      <c r="B195" s="2" t="inlineStr">
        <is>
          <t xml:space="preserve">Security and Data Integrity</t>
        </is>
      </c>
      <c r="C195" s="2" t="inlineStr">
        <is>
          <t xml:space="preserve">Imports › Snapshot integrity and failed imports</t>
        </is>
      </c>
      <c r="D195" s="2" t="inlineStr">
        <is>
          <t xml:space="preserve">A failed or invalid import never replaces the last valid dataset; snapshots are validated and replaced atomically; inspection never writes.</t>
        </is>
      </c>
      <c r="E195" s="2" t="inlineStr">
        <is>
          <t xml:space="preserve">Critical</t>
        </is>
      </c>
      <c r="F195" s="2" t="inlineStr">
        <is>
          <t xml:space="preserve">Not tested</t>
        </is>
      </c>
      <c r="G195" s="2" t="inlineStr">
        <is>
          <t xml:space="preserve">Pending</t>
        </is>
      </c>
      <c r="H195" s="2" t="inlineStr">
        <is>
          <t xml:space="preserve">backend/tests/test_sod_inspection.py; backend/tests/test_sod_metadata.py; frontend/tests/data-source-browse.spec.ts</t>
        </is>
      </c>
      <c r="I195" s="2" t="inlineStr">
        <is>
          <t xml:space="preserve"/>
        </is>
      </c>
      <c r="J195" s="2" t="inlineStr">
        <is>
          <t xml:space="preserve"/>
        </is>
      </c>
      <c r="K195" s="2" t="inlineStr">
        <is>
          <t xml:space="preserve"/>
        </is>
      </c>
      <c r="L195" s="2" t="inlineStr">
        <is>
          <t xml:space="preserve"/>
        </is>
      </c>
      <c r="M195" s="2" t="inlineStr">
        <is>
          <t xml:space="preserve"/>
        </is>
      </c>
      <c r="N195" s="2" t="inlineStr">
        <is>
          <t xml:space="preserve">Try an invalid replacement file and confirm the previous data stays active.</t>
        </is>
      </c>
      <c r="O195" s="2" t="inlineStr">
        <is>
          <t xml:space="preserve"/>
        </is>
      </c>
      <c r="P195" s="2" t="inlineStr">
        <is>
          <t xml:space="preserve">backend/csv_lifecycle.py; docs/data/IMPORT_AND_REFRESH.md</t>
        </is>
      </c>
      <c r="Q195" s="2" t="inlineStr">
        <is>
          <t xml:space="preserve">Implemented</t>
        </is>
      </c>
      <c r="R195" s="2" t="inlineStr">
        <is>
          <t xml:space="preserve">Unclassified</t>
        </is>
      </c>
      <c r="S195" s="2" t="inlineStr">
        <is>
          <t xml:space="preserve">Not started</t>
        </is>
      </c>
    </row>
    <row r="196">
      <c r="A196" s="2" t="inlineStr">
        <is>
          <t xml:space="preserve">SEC-008</t>
        </is>
      </c>
      <c r="B196" s="2" t="inlineStr">
        <is>
          <t xml:space="preserve">Security and Data Integrity</t>
        </is>
      </c>
      <c r="C196" s="2" t="inlineStr">
        <is>
          <t xml:space="preserve">Deployment › Container, service and file permissions</t>
        </is>
      </c>
      <c r="D196" s="2" t="inlineStr">
        <is>
          <t xml:space="preserve">Docker runs non-root with a read-only root and dropped capabilities; the systemd unit is sandboxed; the Windows Service account and data directory ACLs are restrictive.</t>
        </is>
      </c>
      <c r="E196" s="2" t="inlineStr">
        <is>
          <t xml:space="preserve">High</t>
        </is>
      </c>
      <c r="F196" s="2" t="inlineStr">
        <is>
          <t xml:space="preserve">Not tested</t>
        </is>
      </c>
      <c r="G196" s="2" t="inlineStr">
        <is>
          <t xml:space="preserve">Pending</t>
        </is>
      </c>
      <c r="H196" s="2" t="inlineStr">
        <is>
          <t xml:space="preserve"/>
        </is>
      </c>
      <c r="I196" s="2" t="inlineStr">
        <is>
          <t xml:space="preserve"/>
        </is>
      </c>
      <c r="J196" s="2" t="inlineStr">
        <is>
          <t xml:space="preserve"/>
        </is>
      </c>
      <c r="K196" s="2" t="inlineStr">
        <is>
          <t xml:space="preserve">Static review of Dockerfile, compose.yml and the systemd unit only (R8). Runtime acceptance on systemd, Docker and Windows hosts was not executed.</t>
        </is>
      </c>
      <c r="L196" s="2" t="inlineStr">
        <is>
          <t xml:space="preserve">SEC-07</t>
        </is>
      </c>
      <c r="M196" s="2" t="inlineStr">
        <is>
          <t xml:space="preserve">Further systemd sandboxing (PrivateDevices, ProtectKernelTunables, RestrictAddressFamilies, SystemCallFilter) after testing under systemd.</t>
        </is>
      </c>
      <c r="N196" s="2" t="inlineStr">
        <is>
          <t xml:space="preserve">Run the native deployment acceptance checks on each target platform.</t>
        </is>
      </c>
      <c r="O196" s="2" t="inlineStr">
        <is>
          <t xml:space="preserve">Not executable on the Linux CI host.</t>
        </is>
      </c>
      <c r="P196" s="2" t="inlineStr">
        <is>
          <t xml:space="preserve">Dockerfile; compose.yml; deploy/linux/sap-lens.service</t>
        </is>
      </c>
      <c r="Q196" s="2" t="inlineStr">
        <is>
          <t xml:space="preserve">Not assessed</t>
        </is>
      </c>
      <c r="R196" s="2" t="inlineStr">
        <is>
          <t xml:space="preserve">Unclassified</t>
        </is>
      </c>
      <c r="S196" s="2" t="inlineStr">
        <is>
          <t xml:space="preserve">Not started</t>
        </is>
      </c>
    </row>
    <row r="197">
      <c r="A197" s="2" t="inlineStr">
        <is>
          <t xml:space="preserve">R81-01</t>
        </is>
      </c>
      <c r="B197" s="2" t="inlineStr">
        <is>
          <t xml:space="preserve">Security and Data Integrity</t>
        </is>
      </c>
      <c r="C197" s="2" t="inlineStr">
        <is>
          <t xml:space="preserve">Server › Failed Basic sign-in throttling</t>
        </is>
      </c>
      <c r="D197" s="2" t="inlineStr">
        <is>
          <t xml:space="preserve">Repeated wrong Basic credentials from one client lock that client out with 429 and Retry-After (default 5 failures, 60 s, doubling to 15 min); correct credentials are refused during the lock-out and accepted after it; other clients, health probes and requests without credentials are unaffected; forwarded headers from an untrusted peer change nothing.</t>
        </is>
      </c>
      <c r="E197" s="2" t="inlineStr">
        <is>
          <t xml:space="preserve">High</t>
        </is>
      </c>
      <c r="F197" s="2" t="inlineStr">
        <is>
          <t xml:space="preserve">Not tested</t>
        </is>
      </c>
      <c r="G197" s="2" t="inlineStr">
        <is>
          <t xml:space="preserve">Pending</t>
        </is>
      </c>
      <c r="H197" s="2" t="inlineStr">
        <is>
          <t xml:space="preserve">backend/tests/test_auth_throttle.py; backend/tests/test_security_surface.py</t>
        </is>
      </c>
      <c r="I197" s="2" t="inlineStr">
        <is>
          <t xml:space="preserve"/>
        </is>
      </c>
      <c r="J197" s="2" t="inlineStr">
        <is>
          <t xml:space="preserve"/>
        </is>
      </c>
      <c r="K197" s="2" t="inlineStr">
        <is>
          <t xml:space="preserve">Implemented in R8.1 (SEC-02). Automated tests use a fake clock and a TestClient; no real network, proxy or multi-worker deployment was exercised.</t>
        </is>
      </c>
      <c r="L197" s="2" t="inlineStr">
        <is>
          <t xml:space="preserve">SEC-02</t>
        </is>
      </c>
      <c r="M197" s="2" t="inlineStr">
        <is>
          <t xml:space="preserve">Share counters between workers or hosts, or throttle per forwarded identity at the gateway.</t>
        </is>
      </c>
      <c r="N197" s="2" t="inlineStr">
        <is>
          <t xml:space="preserve">On a test server with Basic authentication, send six wrong passwords from one browser, confirm the 429 page and wait the Retry-After time, then sign in; repeat behind your reverse proxy with SAP_LENS_TRUSTED_PROXIES set and confirm other users are not locked out.</t>
        </is>
      </c>
      <c r="O197" s="2" t="inlineStr">
        <is>
          <t xml:space="preserve">State is per process and lost on restart; clients behind one NAT or an unlisted proxy share a lock-out; distributed guessing is slowed, not stopped.</t>
        </is>
      </c>
      <c r="P197" s="2" t="inlineStr">
        <is>
          <t xml:space="preserve">docs/deployment/SECURITY.md; backend/deployment.py; backend/main.py</t>
        </is>
      </c>
      <c r="Q197" s="2" t="inlineStr">
        <is>
          <t xml:space="preserve">Implemented</t>
        </is>
      </c>
      <c r="R197" s="2" t="inlineStr">
        <is>
          <t xml:space="preserve">Unclassified</t>
        </is>
      </c>
      <c r="S197" s="2" t="inlineStr">
        <is>
          <t xml:space="preserve">Not started</t>
        </is>
      </c>
    </row>
    <row r="198">
      <c r="A198" s="2" t="inlineStr">
        <is>
          <t xml:space="preserve">R81-02</t>
        </is>
      </c>
      <c r="B198" s="2" t="inlineStr">
        <is>
          <t xml:space="preserve">Security and Data Integrity</t>
        </is>
      </c>
      <c r="C198" s="2" t="inlineStr">
        <is>
          <t xml:space="preserve">Server › Access secret file permissions (Linux)</t>
        </is>
      </c>
      <c r="D198" s="2" t="inlineStr">
        <is>
          <t xml:space="preserve">A new secret is created owner-only (0600); an existing secret readable by other users, or writable or executable by its group, is refused; group read (0640) is accepted only with SAP_LENS_AUTH_SECRET_GROUP_READ=1 and a group the service account belongs to; every refusal names the file, its mode and the fix; the file is never changed.</t>
        </is>
      </c>
      <c r="E198" s="2" t="inlineStr">
        <is>
          <t xml:space="preserve">High</t>
        </is>
      </c>
      <c r="F198" s="2" t="inlineStr">
        <is>
          <t xml:space="preserve">Not tested</t>
        </is>
      </c>
      <c r="G198" s="2" t="inlineStr">
        <is>
          <t xml:space="preserve">Pending</t>
        </is>
      </c>
      <c r="H198" s="2" t="inlineStr">
        <is>
          <t xml:space="preserve">backend/tests/test_secret_file_policy.py; backend/tests/test_security_surface.py</t>
        </is>
      </c>
      <c r="I198" s="2" t="inlineStr">
        <is>
          <t xml:space="preserve"/>
        </is>
      </c>
      <c r="J198" s="2" t="inlineStr">
        <is>
          <t xml:space="preserve"/>
        </is>
      </c>
      <c r="K198" s="2" t="inlineStr">
        <is>
          <t xml:space="preserve">Implemented in R8.1 (SEC-03). Judged on the opened file; symlinks resolve to their target.</t>
        </is>
      </c>
      <c r="L198" s="2" t="inlineStr">
        <is>
          <t xml:space="preserve">SEC-03</t>
        </is>
      </c>
      <c r="M198" s="2" t="inlineStr">
        <is>
          <t xml:space="preserve">Verify the owner and effective access through the service account, not only the mode.</t>
        </is>
      </c>
      <c r="N198" s="2" t="inlineStr">
        <is>
          <t xml:space="preserve">On a Linux host start the server with a 0644, a 0640 and a 0600 secret (with and without the opt-in) and read the messages; confirm the systemd service and the Docker compose installation still start.</t>
        </is>
      </c>
      <c r="O198" s="2" t="inlineStr">
        <is>
          <t xml:space="preserve">An existing 0640 secret needs chmod 600 or the opt-in (migration step, documented). Not exercised under real systemd or Docker here.</t>
        </is>
      </c>
      <c r="P198" s="2" t="inlineStr">
        <is>
          <t xml:space="preserve">docs/deployment/SECURITY.md; backend/deployment.py; backend/server.py; compose.yml</t>
        </is>
      </c>
      <c r="Q198" s="2" t="inlineStr">
        <is>
          <t xml:space="preserve">Implemented</t>
        </is>
      </c>
      <c r="R198" s="2" t="inlineStr">
        <is>
          <t xml:space="preserve">Unclassified</t>
        </is>
      </c>
      <c r="S198" s="2" t="inlineStr">
        <is>
          <t xml:space="preserve">Not started</t>
        </is>
      </c>
    </row>
    <row r="199">
      <c r="A199" s="2" t="inlineStr">
        <is>
          <t xml:space="preserve">R81-03</t>
        </is>
      </c>
      <c r="B199" s="2" t="inlineStr">
        <is>
          <t xml:space="preserve">Server and Deployment</t>
        </is>
      </c>
      <c r="C199" s="2" t="inlineStr">
        <is>
          <t xml:space="preserve">Windows service › Secret file ACL</t>
        </is>
      </c>
      <c r="D199" s="2" t="inlineStr">
        <is>
          <t xml:space="preserve">The installed secret file grants access only to SYSTEM, Administrators and read access to the service account; a manually created secret with broader access is noticed by the administrator (the runtime does not verify an ACL).</t>
        </is>
      </c>
      <c r="E199" s="2" t="inlineStr">
        <is>
          <t xml:space="preserve">Medium</t>
        </is>
      </c>
      <c r="F199" s="2" t="inlineStr">
        <is>
          <t xml:space="preserve">Not tested</t>
        </is>
      </c>
      <c r="G199" s="2" t="inlineStr">
        <is>
          <t xml:space="preserve">Pending</t>
        </is>
      </c>
      <c r="H199" s="2" t="inlineStr">
        <is>
          <t xml:space="preserve">backend/tests/test_deployment_contracts.py</t>
        </is>
      </c>
      <c r="I199" s="2" t="inlineStr">
        <is>
          <t xml:space="preserve"/>
        </is>
      </c>
      <c r="J199" s="2" t="inlineStr">
        <is>
          <t xml:space="preserve"/>
        </is>
      </c>
      <c r="K199" s="2" t="inlineStr">
        <is>
          <t xml:space="preserve">Provisioning applies the ACL with icacls (manage-server-service.ps1). Windows ACLs are not evaluated by the Linux tests and not checked at runtime.</t>
        </is>
      </c>
      <c r="L199" s="2" t="inlineStr">
        <is>
          <t xml:space="preserve">SEC-03</t>
        </is>
      </c>
      <c r="M199" s="2" t="inlineStr">
        <is>
          <t xml:space="preserve">Check the ACL at start (icacls or the Win32 API) and warn like the POSIX check.</t>
        </is>
      </c>
      <c r="N199" s="2" t="inlineStr">
        <is>
          <t xml:space="preserve">On Windows run icacls on the secret after installation and after any manual replacement; start the service and sign in.</t>
        </is>
      </c>
      <c r="O199" s="2" t="inlineStr">
        <is>
          <t xml:space="preserve">Blocked on a Windows host: not run in this validation.</t>
        </is>
      </c>
      <c r="P199" s="2" t="inlineStr">
        <is>
          <t xml:space="preserve">docs/deployment/WINDOWS_SERVICE.md; scripts/manage-server-service.ps1</t>
        </is>
      </c>
      <c r="Q199" s="2" t="inlineStr">
        <is>
          <t xml:space="preserve">Partially implemented</t>
        </is>
      </c>
      <c r="R199" s="2" t="inlineStr">
        <is>
          <t xml:space="preserve">Unclassified</t>
        </is>
      </c>
      <c r="S199" s="2" t="inlineStr">
        <is>
          <t xml:space="preserve">Not started</t>
        </is>
      </c>
    </row>
    <row r="200">
      <c r="A200" s="2" t="inlineStr">
        <is>
          <t xml:space="preserve">R81-04</t>
        </is>
      </c>
      <c r="B200" s="2" t="inlineStr">
        <is>
          <t xml:space="preserve">SoD Reports</t>
        </is>
      </c>
      <c r="C200" s="2" t="inlineStr">
        <is>
          <t xml:space="preserve">SoD › Reports › PDF</t>
        </is>
      </c>
      <c r="D200" s="2" t="inlineStr">
        <is>
          <t xml:space="preserve">A PDF built from a review period lists risk names and descriptions in the findings section and activity names and descriptions in the appendices, each with its source (Imported, Local fallback or Not available) and a source legend; a file without descriptions produces the report as before.</t>
        </is>
      </c>
      <c r="E200" s="2" t="inlineStr">
        <is>
          <t xml:space="preserve">Medium</t>
        </is>
      </c>
      <c r="F200" s="2" t="inlineStr">
        <is>
          <t xml:space="preserve">Not tested</t>
        </is>
      </c>
      <c r="G200" s="2" t="inlineStr">
        <is>
          <t xml:space="preserve">Pending</t>
        </is>
      </c>
      <c r="H200" s="2" t="inlineStr">
        <is>
          <t xml:space="preserve">backend/tests/test_sod_report_metadata.py; backend/tests/test_sod_reports.py</t>
        </is>
      </c>
      <c r="I200" s="2" t="inlineStr">
        <is>
          <t xml:space="preserve"/>
        </is>
      </c>
      <c r="J200" s="2" t="inlineStr">
        <is>
          <t xml:space="preserve"/>
        </is>
      </c>
      <c r="K200" s="2" t="inlineStr">
        <is>
          <t xml:space="preserve">Implemented in R8.1. Layout was checked through the model and file validity, not by looking at pages.</t>
        </is>
      </c>
      <c r="L200" s="2" t="inlineStr">
        <is>
          <t xml:space="preserve"/>
        </is>
      </c>
      <c r="M200" s="2" t="inlineStr">
        <is>
          <t xml:space="preserve">Show transaction descriptions with their source in the same tables.</t>
        </is>
      </c>
      <c r="N200" s="2" t="inlineStr">
        <is>
          <t xml:space="preserve">Generate a PDF for a period captured from a CSV with description columns and read the tables and legend; try a period captured before descriptions were retained.</t>
        </is>
      </c>
      <c r="O200" s="2" t="inlineStr">
        <is>
          <t xml:space="preserve">A description with characters outside the bundled PDF font fails the PDF with an explicit message (DOCX works).</t>
        </is>
      </c>
      <c r="P200" s="2" t="inlineStr">
        <is>
          <t xml:space="preserve">docs/features/SOD.md; backend/sod_reports.py; backend/sod_metadata.py</t>
        </is>
      </c>
      <c r="Q200" s="2" t="inlineStr">
        <is>
          <t xml:space="preserve">Implemented</t>
        </is>
      </c>
      <c r="R200" s="2" t="inlineStr">
        <is>
          <t xml:space="preserve">Unclassified</t>
        </is>
      </c>
      <c r="S200" s="2" t="inlineStr">
        <is>
          <t xml:space="preserve">Not started</t>
        </is>
      </c>
    </row>
    <row r="201">
      <c r="A201" s="2" t="inlineStr">
        <is>
          <t xml:space="preserve">R81-05</t>
        </is>
      </c>
      <c r="B201" s="2" t="inlineStr">
        <is>
          <t xml:space="preserve">SoD Reports</t>
        </is>
      </c>
      <c r="C201" s="2" t="inlineStr">
        <is>
          <t xml:space="preserve">SoD › Reports › DOCX</t>
        </is>
      </c>
      <c r="D201" s="2" t="inlineStr">
        <is>
          <t xml:space="preserve">The editable DOCX contains the same description tables, source labels and legend as the PDF, with special characters and long text intact and markup shown as text.</t>
        </is>
      </c>
      <c r="E201" s="2" t="inlineStr">
        <is>
          <t xml:space="preserve">Medium</t>
        </is>
      </c>
      <c r="F201" s="2" t="inlineStr">
        <is>
          <t xml:space="preserve">Not tested</t>
        </is>
      </c>
      <c r="G201" s="2" t="inlineStr">
        <is>
          <t xml:space="preserve">Pending</t>
        </is>
      </c>
      <c r="H201" s="2" t="inlineStr">
        <is>
          <t xml:space="preserve">backend/tests/test_sod_report_metadata.py; backend/tests/test_sod_reports.py</t>
        </is>
      </c>
      <c r="I201" s="2" t="inlineStr">
        <is>
          <t xml:space="preserve"/>
        </is>
      </c>
      <c r="J201" s="2" t="inlineStr">
        <is>
          <t xml:space="preserve"/>
        </is>
      </c>
      <c r="K201" s="2" t="inlineStr">
        <is>
          <t xml:space="preserve">Implemented in R8.1; content checked in the document XML.</t>
        </is>
      </c>
      <c r="L201" s="2" t="inlineStr">
        <is>
          <t xml:space="preserve"/>
        </is>
      </c>
      <c r="M201" s="2" t="inlineStr">
        <is>
          <t xml:space="preserve"/>
        </is>
      </c>
      <c r="N201" s="2" t="inlineStr">
        <is>
          <t xml:space="preserve">Open the DOCX in Word and read the Source column, the legend and a long description.</t>
        </is>
      </c>
      <c r="O201" s="2" t="inlineStr">
        <is>
          <t xml:space="preserve">Not opened in Word in this validation.</t>
        </is>
      </c>
      <c r="P201" s="2" t="inlineStr">
        <is>
          <t xml:space="preserve">docs/features/SOD.md; backend/sod_reports.py</t>
        </is>
      </c>
      <c r="Q201" s="2" t="inlineStr">
        <is>
          <t xml:space="preserve">Implemented</t>
        </is>
      </c>
      <c r="R201" s="2" t="inlineStr">
        <is>
          <t xml:space="preserve">Unclassified</t>
        </is>
      </c>
      <c r="S201" s="2" t="inlineStr">
        <is>
          <t xml:space="preserve">Not started</t>
        </is>
      </c>
    </row>
    <row r="202">
      <c r="A202" s="2" t="inlineStr">
        <is>
          <t xml:space="preserve">R81-06</t>
        </is>
      </c>
      <c r="B202" s="2" t="inlineStr">
        <is>
          <t xml:space="preserve">SoD Reports</t>
        </is>
      </c>
      <c r="C202" s="2" t="inlineStr">
        <is>
          <t xml:space="preserve">SoD › Reports › Description provenance</t>
        </is>
      </c>
      <c r="D202" s="2" t="inlineStr">
        <is>
          <t xml:space="preserve">Imported text wins, local business text is shown only where the import has none and is labelled Local fallback, a differing local text is reported but never mixed in, and nothing is generated for a missing description.</t>
        </is>
      </c>
      <c r="E202" s="2" t="inlineStr">
        <is>
          <t xml:space="preserve">High</t>
        </is>
      </c>
      <c r="F202" s="2" t="inlineStr">
        <is>
          <t xml:space="preserve">Not tested</t>
        </is>
      </c>
      <c r="G202" s="2" t="inlineStr">
        <is>
          <t xml:space="preserve">Pending</t>
        </is>
      </c>
      <c r="H202" s="2" t="inlineStr">
        <is>
          <t xml:space="preserve">backend/tests/test_sod_report_metadata.py; backend/tests/test_sod_metadata.py</t>
        </is>
      </c>
      <c r="I202" s="2" t="inlineStr">
        <is>
          <t xml:space="preserve"/>
        </is>
      </c>
      <c r="J202" s="2" t="inlineStr">
        <is>
          <t xml:space="preserve"/>
        </is>
      </c>
      <c r="K202" s="2" t="inlineStr">
        <is>
          <t xml:space="preserve">The report uses the resolver that also serves the pills and Settings.</t>
        </is>
      </c>
      <c r="L202" s="2" t="inlineStr">
        <is>
          <t xml:space="preserve"/>
        </is>
      </c>
      <c r="M202" s="2" t="inlineStr">
        <is>
          <t xml:space="preserve"/>
        </is>
      </c>
      <c r="N202" s="2" t="inlineStr">
        <is>
          <t xml:space="preserve">Compare one risk and one activity across the pill popover, Settings and the report.</t>
        </is>
      </c>
      <c r="O202" s="2" t="inlineStr">
        <is>
          <t xml:space="preserve"/>
        </is>
      </c>
      <c r="P202" s="2" t="inlineStr">
        <is>
          <t xml:space="preserve">backend/sod_metadata.py; docs/data/SOD_MATRIX.md</t>
        </is>
      </c>
      <c r="Q202" s="2" t="inlineStr">
        <is>
          <t xml:space="preserve">Implemented</t>
        </is>
      </c>
      <c r="R202" s="2" t="inlineStr">
        <is>
          <t xml:space="preserve">Unclassified</t>
        </is>
      </c>
      <c r="S202" s="2" t="inlineStr">
        <is>
          <t xml:space="preserve">Not started</t>
        </is>
      </c>
    </row>
    <row r="203">
      <c r="A203" s="2" t="inlineStr">
        <is>
          <t xml:space="preserve">R81-07</t>
        </is>
      </c>
      <c r="B203" s="2" t="inlineStr">
        <is>
          <t xml:space="preserve">Review Periods</t>
        </is>
      </c>
      <c r="C203" s="2" t="inlineStr">
        <is>
          <t xml:space="preserve">Review Periods › Frozen descriptions</t>
        </is>
      </c>
      <c r="D203" s="2" t="inlineStr">
        <is>
          <t xml:space="preserve">A period report never shows descriptions imported or edited after the period was captured; an approved period keeps its report model checksum; a period captured before R8.1 shows only its frozen local text and says that imported descriptions were not retained; decisions and approvals are unchanged.</t>
        </is>
      </c>
      <c r="E203" s="2" t="inlineStr">
        <is>
          <t xml:space="preserve">Critical</t>
        </is>
      </c>
      <c r="F203" s="2" t="inlineStr">
        <is>
          <t xml:space="preserve">Not tested</t>
        </is>
      </c>
      <c r="G203" s="2" t="inlineStr">
        <is>
          <t xml:space="preserve">Pending</t>
        </is>
      </c>
      <c r="H203" s="2" t="inlineStr">
        <is>
          <t xml:space="preserve">backend/tests/test_sod_report_metadata.py; backend/tests/test_sod_periods_v2.py</t>
        </is>
      </c>
      <c r="I203" s="2" t="inlineStr">
        <is>
          <t xml:space="preserve"/>
        </is>
      </c>
      <c r="J203" s="2" t="inlineStr">
        <is>
          <t xml:space="preserve"/>
        </is>
      </c>
      <c r="K203" s="2" t="inlineStr">
        <is>
          <t xml:space="preserve">Descriptions are stored inside the immutable snapshot (metadata version 1).</t>
        </is>
      </c>
      <c r="L203" s="2" t="inlineStr">
        <is>
          <t xml:space="preserve"/>
        </is>
      </c>
      <c r="M203" s="2" t="inlineStr">
        <is>
          <t xml:space="preserve"/>
        </is>
      </c>
      <c r="N203" s="2" t="inlineStr">
        <is>
          <t xml:space="preserve">Approve a period, import a CSV with different descriptions, regenerate the report and compare; open a period created before the upgrade.</t>
        </is>
      </c>
      <c r="O203" s="2" t="inlineStr">
        <is>
          <t xml:space="preserve">Legacy snapshots cannot show imported descriptions; recapturing a period replaces its copy by design.</t>
        </is>
      </c>
      <c r="P203" s="2" t="inlineStr">
        <is>
          <t xml:space="preserve">docs/features/SOD.md; backend/sod_periods.py</t>
        </is>
      </c>
      <c r="Q203" s="2" t="inlineStr">
        <is>
          <t xml:space="preserve">Implemented</t>
        </is>
      </c>
      <c r="R203" s="2" t="inlineStr">
        <is>
          <t xml:space="preserve">Unclassified</t>
        </is>
      </c>
      <c r="S203" s="2" t="inlineStr">
        <is>
          <t xml:space="preserve">Not started</t>
        </is>
      </c>
    </row>
    <row r="204">
      <c r="A204" s="2" t="inlineStr">
        <is>
          <t xml:space="preserve">R81-08</t>
        </is>
      </c>
      <c r="B204" s="2" t="inlineStr">
        <is>
          <t xml:space="preserve">Settings and Data Sources</t>
        </is>
      </c>
      <c r="C204" s="2" t="inlineStr">
        <is>
          <t xml:space="preserve">SoD Matrix › Legacy files in reports</t>
        </is>
      </c>
      <c r="D204" s="2" t="inlineStr">
        <is>
          <t xml:space="preserve">A SoD Matrix CSV without any optional description column, or with partly filled ones, still imports, reviews and reports; missing descriptions never block a PDF or DOCX.</t>
        </is>
      </c>
      <c r="E204" s="2" t="inlineStr">
        <is>
          <t xml:space="preserve">High</t>
        </is>
      </c>
      <c r="F204" s="2" t="inlineStr">
        <is>
          <t xml:space="preserve">Not tested</t>
        </is>
      </c>
      <c r="G204" s="2" t="inlineStr">
        <is>
          <t xml:space="preserve">Pending</t>
        </is>
      </c>
      <c r="H204" s="2" t="inlineStr">
        <is>
          <t xml:space="preserve">backend/tests/test_sod_report_metadata.py; backend/tests/test_sod_metadata.py</t>
        </is>
      </c>
      <c r="I204" s="2" t="inlineStr">
        <is>
          <t xml:space="preserve"/>
        </is>
      </c>
      <c r="J204" s="2" t="inlineStr">
        <is>
          <t xml:space="preserve"/>
        </is>
      </c>
      <c r="K204" s="2" t="inlineStr">
        <is>
          <t xml:space="preserve">Old datasets produce the report tables they always did.</t>
        </is>
      </c>
      <c r="L204" s="2" t="inlineStr">
        <is>
          <t xml:space="preserve"/>
        </is>
      </c>
      <c r="M204" s="2" t="inlineStr">
        <is>
          <t xml:space="preserve"/>
        </is>
      </c>
      <c r="N204" s="2" t="inlineStr">
        <is>
          <t xml:space="preserve">Run the report on your existing production-shaped export.</t>
        </is>
      </c>
      <c r="O204" s="2" t="inlineStr">
        <is>
          <t xml:space="preserve">No real upstream export was available.</t>
        </is>
      </c>
      <c r="P204" s="2" t="inlineStr">
        <is>
          <t xml:space="preserve">docs/data/SOD_MATRIX.md</t>
        </is>
      </c>
      <c r="Q204" s="2" t="inlineStr">
        <is>
          <t xml:space="preserve">Implemented</t>
        </is>
      </c>
      <c r="R204" s="2" t="inlineStr">
        <is>
          <t xml:space="preserve">Unclassified</t>
        </is>
      </c>
      <c r="S204" s="2" t="inlineStr">
        <is>
          <t xml:space="preserve">Not started</t>
        </is>
      </c>
    </row>
    <row r="205">
      <c r="A205" s="2" t="inlineStr">
        <is>
          <t xml:space="preserve">R81-09</t>
        </is>
      </c>
      <c r="B205" s="2" t="inlineStr">
        <is>
          <t xml:space="preserve">Component Library</t>
        </is>
      </c>
      <c r="C205" s="2" t="inlineStr">
        <is>
          <t xml:space="preserve">Components › Select dropdown family</t>
        </is>
      </c>
      <c r="D205" s="2" t="inlineStr">
        <is>
          <t xml:space="preserve">Standard selects, the searchable select and the multi-select filter open the same list surface (background, border, radius, spacing, hover, accent and check mark for the selected option); long labels wrap, disabled options cannot be chosen, the list stays inside the viewport and above dialogs and side panels, and works with mouse, keyboard, Escape and screen readers, in both themes.</t>
        </is>
      </c>
      <c r="E205" s="2" t="inlineStr">
        <is>
          <t xml:space="preserve">High</t>
        </is>
      </c>
      <c r="F205" s="2" t="inlineStr">
        <is>
          <t xml:space="preserve">Not tested</t>
        </is>
      </c>
      <c r="G205" s="2" t="inlineStr">
        <is>
          <t xml:space="preserve">Pending</t>
        </is>
      </c>
      <c r="H205" s="2" t="inlineStr">
        <is>
          <t xml:space="preserve">frontend/tests/select-family.spec.ts; frontend/tests/a11y-audit.spec.ts</t>
        </is>
      </c>
      <c r="I205" s="2" t="inlineStr">
        <is>
          <t xml:space="preserve"/>
        </is>
      </c>
      <c r="J205" s="2" t="inlineStr">
        <is>
          <t xml:space="preserve"/>
        </is>
      </c>
      <c r="K205" s="2" t="inlineStr">
        <is>
          <t xml:space="preserve">Implemented as an addendum to R8; the native select element is kept for value, validation and labels.</t>
        </is>
      </c>
      <c r="L205" s="2" t="inlineStr">
        <is>
          <t xml:space="preserve"/>
        </is>
      </c>
      <c r="M205" s="2" t="inlineStr">
        <is>
          <t xml:space="preserve"/>
        </is>
      </c>
      <c r="N205" s="2" t="inlineStr">
        <is>
          <t xml:space="preserve">Open Component Library › Demo select, Demo searchable role and Demo areas in light and dark at 375, 800, 1280 and 1600 px and compare them; try the selects inside the demo dialog and side panel and a screen reader.</t>
        </is>
      </c>
      <c r="O205" s="2" t="inlineStr">
        <is>
          <t xml:space="preserve">Multiple or sized selects keep the browser control; not tried with a screen reader or on a touch device.</t>
        </is>
      </c>
      <c r="P205" s="2" t="inlineStr">
        <is>
          <t xml:space="preserve">docs/architecture/COMPONENTS.md; frontend/src/components/Shared/Select.tsx</t>
        </is>
      </c>
      <c r="Q205" s="2" t="inlineStr">
        <is>
          <t xml:space="preserve">Implemented</t>
        </is>
      </c>
      <c r="R205" s="2" t="inlineStr">
        <is>
          <t xml:space="preserve">Unclassified</t>
        </is>
      </c>
      <c r="S205" s="2" t="inlineStr">
        <is>
          <t xml:space="preserve">Not started</t>
        </is>
      </c>
    </row>
    <row r="206">
      <c r="A206" s="2" t="inlineStr">
        <is>
          <t xml:space="preserve">R81-10</t>
        </is>
      </c>
      <c r="B206" s="2" t="inlineStr">
        <is>
          <t xml:space="preserve">Role Lookup</t>
        </is>
      </c>
      <c r="C206" s="2" t="inlineStr">
        <is>
          <t xml:space="preserve">Role Lookup › Card header description</t>
        </is>
      </c>
      <c r="D206" s="2" t="inlineStr">
        <is>
          <t xml:space="preserve">The module pill, description and actions share one centered line of one height for every card; a description that does not fit ends in an ellipsis and reveals its full text on hover, keyboard focus, click or tap; a description that fits has no control and no tooltip; actions never shrink; correct with long English and French text, at 320 to 1600 px and in both themes.</t>
        </is>
      </c>
      <c r="E206" s="2" t="inlineStr">
        <is>
          <t xml:space="preserve">Medium</t>
        </is>
      </c>
      <c r="F206" s="2" t="inlineStr">
        <is>
          <t xml:space="preserve">Not tested</t>
        </is>
      </c>
      <c r="G206" s="2" t="inlineStr">
        <is>
          <t xml:space="preserve">Pending</t>
        </is>
      </c>
      <c r="H206" s="2" t="inlineStr">
        <is>
          <t xml:space="preserve">frontend/tests/r8-ui-polish.spec.ts; frontend/tests/a11y-audit.spec.ts</t>
        </is>
      </c>
      <c r="I206" s="2" t="inlineStr">
        <is>
          <t xml:space="preserve"/>
        </is>
      </c>
      <c r="J206" s="2" t="inlineStr">
        <is>
          <t xml:space="preserve"/>
        </is>
      </c>
      <c r="K206" s="2" t="inlineStr">
        <is>
          <t xml:space="preserve">Addendum to R8-01 (which described the earlier wrapping header). The visible part is short at 375 px by design; the full text is on demand.</t>
        </is>
      </c>
      <c r="L206" s="2" t="inlineStr">
        <is>
          <t xml:space="preserve"/>
        </is>
      </c>
      <c r="M206" s="2" t="inlineStr">
        <is>
          <t xml:space="preserve"/>
        </is>
      </c>
      <c r="N206" s="2" t="inlineStr">
        <is>
          <t xml:space="preserve">Resize the browser and zoom to 200 and 400 percent on Role Lookup with long descriptions, in both themes.</t>
        </is>
      </c>
      <c r="O206" s="2" t="inlineStr">
        <is>
          <t xml:space="preserve">At 375 px or less only a few characters of the description remain visible beside the pill and two actions.</t>
        </is>
      </c>
      <c r="P206" s="2" t="inlineStr">
        <is>
          <t xml:space="preserve">docs/architecture/COMPONENTS.md; frontend/src/components/Shared/TruncatedText.tsx</t>
        </is>
      </c>
      <c r="Q206" s="2" t="inlineStr">
        <is>
          <t xml:space="preserve">Implemented</t>
        </is>
      </c>
      <c r="R206" s="2" t="inlineStr">
        <is>
          <t xml:space="preserve">Unclassified</t>
        </is>
      </c>
      <c r="S206" s="2" t="inlineStr">
        <is>
          <t xml:space="preserve">Not started</t>
        </is>
      </c>
    </row>
    <row r="207">
      <c r="A207" s="2" t="inlineStr">
        <is>
          <t xml:space="preserve">R81-11</t>
        </is>
      </c>
      <c r="B207" s="2" t="inlineStr">
        <is>
          <t xml:space="preserve">Server and Deployment</t>
        </is>
      </c>
      <c r="C207" s="2" t="inlineStr">
        <is>
          <t xml:space="preserve">Repository › Ruff and ESLint</t>
        </is>
      </c>
      <c r="D207" s="2" t="inlineStr">
        <is>
          <t xml:space="preserve">Ruff and ESLint run in Fast Validation, Full Validation and the local profiles, fail on errors and on new ESLint warnings beyond the recorded backlog, and a documented command reproduces each.</t>
        </is>
      </c>
      <c r="E207" s="2" t="inlineStr">
        <is>
          <t xml:space="preserve">Medium</t>
        </is>
      </c>
      <c r="F207" s="2" t="inlineStr">
        <is>
          <t xml:space="preserve">Not tested</t>
        </is>
      </c>
      <c r="G207" s="2" t="inlineStr">
        <is>
          <t xml:space="preserve">Pending</t>
        </is>
      </c>
      <c r="H207" s="2" t="inlineStr">
        <is>
          <t xml:space="preserve">backend/tests/test_workflows.py; backend/tests/test_test_profiles.py</t>
        </is>
      </c>
      <c r="I207" s="2" t="inlineStr">
        <is>
          <t xml:space="preserve"/>
        </is>
      </c>
      <c r="J207" s="2" t="inlineStr">
        <is>
          <t xml:space="preserve"/>
        </is>
      </c>
      <c r="K207" s="2" t="inlineStr">
        <is>
          <t xml:space="preserve">Correctness rules only; no reformatting.</t>
        </is>
      </c>
      <c r="L207" s="2" t="inlineStr">
        <is>
          <t xml:space="preserve"/>
        </is>
      </c>
      <c r="M207" s="2" t="inlineStr">
        <is>
          <t xml:space="preserve"/>
        </is>
      </c>
      <c r="N207" s="2" t="inlineStr">
        <is>
          <t xml:space="preserve">Run python -m ruff check backend scripts and npm run lint in frontend; read the Fast Validation summary on GitHub.</t>
        </is>
      </c>
      <c r="O207" s="2" t="inlineStr">
        <is>
          <t xml:space="preserve">ESLint backlog: 30 hook-dependency warnings and 81 any uses in specs.</t>
        </is>
      </c>
      <c r="P207" s="2" t="inlineStr">
        <is>
          <t xml:space="preserve">docs/development/TESTING.md; ruff.toml; frontend/eslint.config.js</t>
        </is>
      </c>
      <c r="Q207" s="2" t="inlineStr">
        <is>
          <t xml:space="preserve">Implemented</t>
        </is>
      </c>
      <c r="R207" s="2" t="inlineStr">
        <is>
          <t xml:space="preserve">Unclassified</t>
        </is>
      </c>
      <c r="S207" s="2" t="inlineStr">
        <is>
          <t xml:space="preserve">Not started</t>
        </is>
      </c>
    </row>
    <row r="208">
      <c r="A208" s="2" t="inlineStr">
        <is>
          <t xml:space="preserve">R81-12</t>
        </is>
      </c>
      <c r="B208" s="2" t="inlineStr">
        <is>
          <t xml:space="preserve">Server and Deployment</t>
        </is>
      </c>
      <c r="C208" s="2" t="inlineStr">
        <is>
          <t xml:space="preserve">Repository › Test process isolation</t>
        </is>
      </c>
      <c r="D208" s="2" t="inlineStr">
        <is>
          <t xml:space="preserve">Browser test servers remove their temporary directories when stopped, the runner reports busy ports instead of colliding and stops only processes it started.</t>
        </is>
      </c>
      <c r="E208" s="2" t="inlineStr">
        <is>
          <t xml:space="preserve">Medium</t>
        </is>
      </c>
      <c r="F208" s="2" t="inlineStr">
        <is>
          <t xml:space="preserve">Not tested</t>
        </is>
      </c>
      <c r="G208" s="2" t="inlineStr">
        <is>
          <t xml:space="preserve">Pending</t>
        </is>
      </c>
      <c r="H208" s="2" t="inlineStr">
        <is>
          <t xml:space="preserve">backend/tests/test_test_profiles.py</t>
        </is>
      </c>
      <c r="I208" s="2" t="inlineStr">
        <is>
          <t xml:space="preserve"/>
        </is>
      </c>
      <c r="J208" s="2" t="inlineStr">
        <is>
          <t xml:space="preserve"/>
        </is>
      </c>
      <c r="K208" s="2" t="inlineStr">
        <is>
          <t xml:space="preserve">Found 616 leaked directories (1.9 GB) before the fix.</t>
        </is>
      </c>
      <c r="L208" s="2" t="inlineStr">
        <is>
          <t xml:space="preserve"/>
        </is>
      </c>
      <c r="M208" s="2" t="inlineStr">
        <is>
          <t xml:space="preserve"/>
        </is>
      </c>
      <c r="N208" s="2" t="inlineStr">
        <is>
          <t xml:space="preserve">Run a browser spec and check that no sap-lens-browser-* directory and no server process remain.</t>
        </is>
      </c>
      <c r="O208" s="2" t="inlineStr">
        <is>
          <t xml:space="preserve"/>
        </is>
      </c>
      <c r="P208" s="2" t="inlineStr">
        <is>
          <t xml:space="preserve">docs/development/TESTING.md; scripts/serve-browser-tests.py; scripts/run-tests.py</t>
        </is>
      </c>
      <c r="Q208" s="2" t="inlineStr">
        <is>
          <t xml:space="preserve">Implemented</t>
        </is>
      </c>
      <c r="R208" s="2" t="inlineStr">
        <is>
          <t xml:space="preserve">Unclassified</t>
        </is>
      </c>
      <c r="S208" s="2" t="inlineStr">
        <is>
          <t xml:space="preserve">Not started</t>
        </is>
      </c>
    </row>
    <row r="209">
      <c r="A209" s="2" t="inlineStr">
        <is>
          <t xml:space="preserve">R81-13</t>
        </is>
      </c>
      <c r="B209" s="2" t="inlineStr">
        <is>
          <t xml:space="preserve">Server and Deployment</t>
        </is>
      </c>
      <c r="C209" s="2" t="inlineStr">
        <is>
          <t xml:space="preserve">Repository › Parallel regression</t>
        </is>
      </c>
      <c r="D209" s="2" t="inlineStr">
        <is>
          <t xml:space="preserve">The regression runs the browser suite in up to three isolated processes with deterministic distribution, per-process attribution and the same results as a serial run.</t>
        </is>
      </c>
      <c r="E209" s="2" t="inlineStr">
        <is>
          <t xml:space="preserve">Medium</t>
        </is>
      </c>
      <c r="F209" s="2" t="inlineStr">
        <is>
          <t xml:space="preserve">Not tested</t>
        </is>
      </c>
      <c r="G209" s="2" t="inlineStr">
        <is>
          <t xml:space="preserve">Pending</t>
        </is>
      </c>
      <c r="H209" s="2" t="inlineStr">
        <is>
          <t xml:space="preserve">backend/tests/test_test_profiles.py</t>
        </is>
      </c>
      <c r="I209" s="2" t="inlineStr">
        <is>
          <t xml:space="preserve"/>
        </is>
      </c>
      <c r="J209" s="2" t="inlineStr">
        <is>
          <t xml:space="preserve"/>
        </is>
      </c>
      <c r="K209" s="2" t="inlineStr">
        <is>
          <t xml:space="preserve">See R8_1_STABILIZATION.md for the measurements and the one load-dependent failure observed.</t>
        </is>
      </c>
      <c r="L209" s="2" t="inlineStr">
        <is>
          <t xml:space="preserve"/>
        </is>
      </c>
      <c r="M209" s="2" t="inlineStr">
        <is>
          <t xml:space="preserve"/>
        </is>
      </c>
      <c r="N209" s="2" t="inlineStr">
        <is>
          <t xml:space="preserve">Run regression --browser-jobs auto on a 4 CPU host and compare with --browser-jobs 1 when a result is doubtful.</t>
        </is>
      </c>
      <c r="O209" s="2" t="inlineStr">
        <is>
          <t xml:space="preserve">CPU-bound: gains were 1.6x to 1.7x on 4 vCPUs; not measured on CI runners.</t>
        </is>
      </c>
      <c r="P209" s="2" t="inlineStr">
        <is>
          <t xml:space="preserve">docs/development/TESTING.md; docs/development/R8_1_STABILIZATION.md</t>
        </is>
      </c>
      <c r="Q209" s="2" t="inlineStr">
        <is>
          <t xml:space="preserve">Implemented</t>
        </is>
      </c>
      <c r="R209" s="2" t="inlineStr">
        <is>
          <t xml:space="preserve">Unclassified</t>
        </is>
      </c>
      <c r="S209" s="2" t="inlineStr">
        <is>
          <t xml:space="preserve">Not started</t>
        </is>
      </c>
    </row>
    <row r="210">
      <c r="A210" s="2" t="inlineStr">
        <is>
          <t xml:space="preserve">R81-14</t>
        </is>
      </c>
      <c r="B210" s="2" t="inlineStr">
        <is>
          <t xml:space="preserve">Desktop and Startup</t>
        </is>
      </c>
      <c r="C210" s="2" t="inlineStr">
        <is>
          <t xml:space="preserve">Windows desktop and service › R8.1 changes</t>
        </is>
      </c>
      <c r="D210" s="2" t="inlineStr">
        <is>
          <t xml:space="preserve">On Windows the desktop application, the server mode with Basic authentication (throttling, secret ACL) and the Windows service start, sign in, lock out and recover as documented, and the select dropdowns, truncated descriptions and report descriptions work in WebView2.</t>
        </is>
      </c>
      <c r="E210" s="2" t="inlineStr">
        <is>
          <t xml:space="preserve">High</t>
        </is>
      </c>
      <c r="F210" s="2" t="inlineStr">
        <is>
          <t xml:space="preserve">Not tested</t>
        </is>
      </c>
      <c r="G210" s="2" t="inlineStr">
        <is>
          <t xml:space="preserve">Pending</t>
        </is>
      </c>
      <c r="H210" s="2" t="inlineStr">
        <is>
          <t xml:space="preserve">backend/tests/test_deployment_contracts.py; backend/tests/test_desktop.py</t>
        </is>
      </c>
      <c r="I210" s="2" t="inlineStr">
        <is>
          <t xml:space="preserve"/>
        </is>
      </c>
      <c r="J210" s="2" t="inlineStr">
        <is>
          <t xml:space="preserve"/>
        </is>
      </c>
      <c r="K210" s="2" t="inlineStr">
        <is>
          <t xml:space="preserve">Native Windows, WebView2, service control and installer behaviour were not validated.</t>
        </is>
      </c>
      <c r="L210" s="2" t="inlineStr">
        <is>
          <t xml:space="preserve"/>
        </is>
      </c>
      <c r="M210" s="2" t="inlineStr">
        <is>
          <t xml:space="preserve"/>
        </is>
      </c>
      <c r="N210" s="2" t="inlineStr">
        <is>
          <t xml:space="preserve">Install the desktop build and the service on Windows 11 at 100, 150 and 200 percent scaling and walk the R81 items.</t>
        </is>
      </c>
      <c r="O210" s="2" t="inlineStr">
        <is>
          <t xml:space="preserve">Blocked here: no Windows host.</t>
        </is>
      </c>
      <c r="P210" s="2" t="inlineStr">
        <is>
          <t xml:space="preserve">docs/deployment/WINDOWS_SERVICE.md; docs/architecture/DESKTOP.md</t>
        </is>
      </c>
      <c r="Q210" s="2" t="inlineStr">
        <is>
          <t xml:space="preserve">Partially implemented</t>
        </is>
      </c>
      <c r="R210" s="2" t="inlineStr">
        <is>
          <t xml:space="preserve">Unclassified</t>
        </is>
      </c>
      <c r="S210" s="2" t="inlineStr">
        <is>
          <t xml:space="preserve">Not started</t>
        </is>
      </c>
    </row>
    <row r="211">
      <c r="A211" s="2" t="inlineStr">
        <is>
          <t xml:space="preserve">R81-15</t>
        </is>
      </c>
      <c r="B211" s="2" t="inlineStr">
        <is>
          <t xml:space="preserve">Server and Deployment</t>
        </is>
      </c>
      <c r="C211" s="2" t="inlineStr">
        <is>
          <t xml:space="preserve">Docker and systemd › R8.1 changes</t>
        </is>
      </c>
      <c r="D211" s="2" t="inlineStr">
        <is>
          <t xml:space="preserve">The Docker installation (0640 secret with the explicit opt-in) and the hardened systemd unit (seven added sandbox directives) start, serve and restart on real hosts.</t>
        </is>
      </c>
      <c r="E211" s="2" t="inlineStr">
        <is>
          <t xml:space="preserve">High</t>
        </is>
      </c>
      <c r="F211" s="2" t="inlineStr">
        <is>
          <t xml:space="preserve">Not tested</t>
        </is>
      </c>
      <c r="G211" s="2" t="inlineStr">
        <is>
          <t xml:space="preserve">Pending</t>
        </is>
      </c>
      <c r="H211" s="2" t="inlineStr">
        <is>
          <t xml:space="preserve">backend/tests/test_deployment_contracts.py; backend/tests/test_server.py</t>
        </is>
      </c>
      <c r="I211" s="2" t="inlineStr">
        <is>
          <t xml:space="preserve"/>
        </is>
      </c>
      <c r="J211" s="2" t="inlineStr">
        <is>
          <t xml:space="preserve"/>
        </is>
      </c>
      <c r="K211" s="2" t="inlineStr">
        <is>
          <t xml:space="preserve">The unit passed systemd-analyze verify; it was not booted. Docker was not run.</t>
        </is>
      </c>
      <c r="L211" s="2" t="inlineStr">
        <is>
          <t xml:space="preserve">SEC-07</t>
        </is>
      </c>
      <c r="M211" s="2" t="inlineStr">
        <is>
          <t xml:space="preserve"/>
        </is>
      </c>
      <c r="N211" s="2" t="inlineStr">
        <is>
          <t xml:space="preserve">Install both on a test host, check journalctl or docker logs, sign in, restart.</t>
        </is>
      </c>
      <c r="O211" s="2" t="inlineStr">
        <is>
          <t xml:space="preserve">Blocked here: no real systemd or Docker runtime.</t>
        </is>
      </c>
      <c r="P211" s="2" t="inlineStr">
        <is>
          <t xml:space="preserve">docs/deployment/LINUX_DOCKER.md; docs/deployment/LINUX_NATIVE.md; deploy/linux/sap-lens.service</t>
        </is>
      </c>
      <c r="Q211" s="2" t="inlineStr">
        <is>
          <t xml:space="preserve">Partially implemented</t>
        </is>
      </c>
      <c r="R211" s="2" t="inlineStr">
        <is>
          <t xml:space="preserve">Unclassified</t>
        </is>
      </c>
      <c r="S211" s="2" t="inlineStr">
        <is>
          <t xml:space="preserve">Not started</t>
        </is>
      </c>
    </row>
    <row r="212">
      <c r="A212" s="2" t="inlineStr">
        <is>
          <t xml:space="preserve">R81-16</t>
        </is>
      </c>
      <c r="B212" s="2" t="inlineStr">
        <is>
          <t xml:space="preserve">Server and Deployment</t>
        </is>
      </c>
      <c r="C212" s="2" t="inlineStr">
        <is>
          <t xml:space="preserve">Actions › Build Deployment Packages › Build selection</t>
        </is>
      </c>
      <c r="D212" s="2" t="inlineStr">
        <is>
          <t xml:space="preserve">GitHub Actions shows one build_target dropdown (all, windows-all, windows-desktop, windows-service, linux-all, linux-docker, linux-native) and every choice is valid; the selected packages are built independently, unselected packages are skipped and start no runner, the summary shows the target and resolved packages, and publication takes only selected, verified packages and is never blocked or widened by skipped ones.</t>
        </is>
      </c>
      <c r="E212" s="2" t="inlineStr">
        <is>
          <t xml:space="preserve">High</t>
        </is>
      </c>
      <c r="F212" s="2" t="inlineStr">
        <is>
          <t xml:space="preserve">Not tested</t>
        </is>
      </c>
      <c r="G212" s="2" t="inlineStr">
        <is>
          <t xml:space="preserve">Pending</t>
        </is>
      </c>
      <c r="H212" s="2" t="inlineStr">
        <is>
          <t xml:space="preserve">backend/tests/test_deployment_selection.py; backend/tests/test_deployment_release.py; backend/tests/test_workflows.py</t>
        </is>
      </c>
      <c r="I212" s="2" t="inlineStr">
        <is>
          <t xml:space="preserve"/>
        </is>
      </c>
      <c r="J212" s="2" t="inlineStr">
        <is>
          <t xml:space="preserve"/>
        </is>
      </c>
      <c r="K212" s="2" t="inlineStr">
        <is>
          <t xml:space="preserve">Implemented as an R8.1 follow-up; a two-input version (operating_system and package) was replaced by the single dropdown because incompatible choices could not be hidden. Verified offline: planner, resolver, workflow job conditions and publication gating; no workflow was dispatched.</t>
        </is>
      </c>
      <c r="L212" s="2" t="inlineStr">
        <is>
          <t xml:space="preserve"/>
        </is>
      </c>
      <c r="M212" s="2" t="inlineStr">
        <is>
          <t xml:space="preserve"/>
        </is>
      </c>
      <c r="N212" s="2" t="inlineStr">
        <is>
          <t xml:space="preserve">After approval, dispatch build-only runs for windows-all, linux-all and one single package and read the Resolve Build Selection summary; check that skipped jobs start no runner and that the dropdown shows exactly seven choices.</t>
        </is>
      </c>
      <c r="O212" s="2" t="inlineStr">
        <is>
          <t xml:space="preserve">Not run on GitHub: the skipped-job and partial-publication behaviour is verified through offline models only.</t>
        </is>
      </c>
      <c r="P212" s="2" t="inlineStr">
        <is>
          <t xml:space="preserve">docs/deployment/BUILD.md; .github/workflows/build-deployments.yml; scripts/deployment-release.py</t>
        </is>
      </c>
      <c r="Q212" s="2" t="inlineStr">
        <is>
          <t xml:space="preserve">Implemented</t>
        </is>
      </c>
      <c r="R212" s="2" t="inlineStr">
        <is>
          <t xml:space="preserve">Unclassified</t>
        </is>
      </c>
      <c r="S212" s="2" t="inlineStr">
        <is>
          <t xml:space="preserve">Not started</t>
        </is>
      </c>
    </row>
    <row r="213">
      <c r="A213" s="2" t="inlineStr">
        <is>
          <t xml:space="preserve">CICD-01</t>
        </is>
      </c>
      <c r="B213" s="2" t="inlineStr">
        <is>
          <t xml:space="preserve">Server and Deployment</t>
        </is>
      </c>
      <c r="C213" s="2" t="inlineStr">
        <is>
          <t xml:space="preserve">Actions › Windows packaging › Upload path confinement</t>
        </is>
      </c>
      <c r="D213" s="2" t="inlineStr">
        <is>
          <t xml:space="preserve">Windows package jobs pass test_server: staged uploads are judged on canonical paths, an alias or 8.3 short data directory works, traversal, symlink escape and invalid names are still refused.</t>
        </is>
      </c>
      <c r="E213" s="2" t="inlineStr">
        <is>
          <t xml:space="preserve">Critical</t>
        </is>
      </c>
      <c r="F213" s="2" t="inlineStr">
        <is>
          <t xml:space="preserve">Not tested</t>
        </is>
      </c>
      <c r="G213" s="2" t="inlineStr">
        <is>
          <t xml:space="preserve">Pending</t>
        </is>
      </c>
      <c r="H213" s="2" t="inlineStr">
        <is>
          <t xml:space="preserve">backend/tests/test_server.py (UploadPathTests)</t>
        </is>
      </c>
      <c r="I213" s="2" t="inlineStr">
        <is>
          <t xml:space="preserve"/>
        </is>
      </c>
      <c r="J213" s="2" t="inlineStr">
        <is>
          <t xml:space="preserve"/>
        </is>
      </c>
      <c r="K213" s="2" t="inlineStr">
        <is>
          <t xml:space="preserve"/>
        </is>
      </c>
      <c r="L213" s="2" t="inlineStr">
        <is>
          <t xml:space="preserve"/>
        </is>
      </c>
      <c r="M213" s="2" t="inlineStr">
        <is>
          <t xml:space="preserve"/>
        </is>
      </c>
      <c r="N213" s="2" t="inlineStr">
        <is>
          <t xml:space="preserve">Re-run a Windows package build on GitHub after approval and confirm test_server passes on the runner.</t>
        </is>
      </c>
      <c r="O213" s="2" t="inlineStr">
        <is>
          <t xml:space="preserve">Fixed the test fixture, not the application: confinement is unchanged. Reproduced on Linux with an alias directory. Not run on a Windows runner since the fix.</t>
        </is>
      </c>
      <c r="P213" s="2" t="inlineStr">
        <is>
          <t xml:space="preserve">docs/deployment/BUILD.md; backend/server.py; backend/tests/test_server.py</t>
        </is>
      </c>
      <c r="Q213" s="2" t="inlineStr">
        <is>
          <t xml:space="preserve">Implemented</t>
        </is>
      </c>
      <c r="R213" s="2" t="inlineStr">
        <is>
          <t xml:space="preserve">Unclassified</t>
        </is>
      </c>
      <c r="S213" s="2" t="inlineStr">
        <is>
          <t xml:space="preserve">Not started</t>
        </is>
      </c>
    </row>
    <row r="214">
      <c r="A214" s="2" t="inlineStr">
        <is>
          <t xml:space="preserve">CICD-02</t>
        </is>
      </c>
      <c r="B214" s="2" t="inlineStr">
        <is>
          <t xml:space="preserve">Server and Deployment</t>
        </is>
      </c>
      <c r="C214" s="2" t="inlineStr">
        <is>
          <t xml:space="preserve">Actions › Fast Validation › Change-based selection</t>
        </is>
      </c>
      <c r="D214" s="2" t="inlineStr">
        <is>
          <t xml:space="preserve">Pushes to work/main and PRs to main run cheap checks chosen from the change: documentation-only skips Node, frontend changes add build/lint/smoke, backend or unmapped paths run the whole backend; no complete browser suite per push.</t>
        </is>
      </c>
      <c r="E214" s="2" t="inlineStr">
        <is>
          <t xml:space="preserve">High</t>
        </is>
      </c>
      <c r="F214" s="2" t="inlineStr">
        <is>
          <t xml:space="preserve">Not tested</t>
        </is>
      </c>
      <c r="G214" s="2" t="inlineStr">
        <is>
          <t xml:space="preserve">Pending</t>
        </is>
      </c>
      <c r="H214" s="2" t="inlineStr">
        <is>
          <t xml:space="preserve">backend/tests/test_test_profiles.py (ChangeSelectionTests); backend/tests/test_workflows.py</t>
        </is>
      </c>
      <c r="I214" s="2" t="inlineStr">
        <is>
          <t xml:space="preserve"/>
        </is>
      </c>
      <c r="J214" s="2" t="inlineStr">
        <is>
          <t xml:space="preserve"/>
        </is>
      </c>
      <c r="K214" s="2" t="inlineStr">
        <is>
          <t xml:space="preserve"/>
        </is>
      </c>
      <c r="L214" s="2" t="inlineStr">
        <is>
          <t xml:space="preserve"/>
        </is>
      </c>
      <c r="M214" s="2" t="inlineStr">
        <is>
          <t xml:space="preserve"/>
        </is>
      </c>
      <c r="N214" s="2" t="inlineStr">
        <is>
          <t xml:space="preserve">Observe a documentation-only push, a frontend push and a pull request.</t>
        </is>
      </c>
      <c r="O214" s="2" t="inlineStr">
        <is>
          <t xml:space="preserve">Backend-only selection ran on GitHub in about 1.5 minutes (run 41335937097). Frontend and PR paths are verified offline only.</t>
        </is>
      </c>
      <c r="P214" s="2" t="inlineStr">
        <is>
          <t xml:space="preserve">docs/deployment/CI_CD.md; .github/workflows/validate.yml; scripts/test-map.json; scripts/run-tests.py</t>
        </is>
      </c>
      <c r="Q214" s="2" t="inlineStr">
        <is>
          <t xml:space="preserve">Implemented</t>
        </is>
      </c>
      <c r="R214" s="2" t="inlineStr">
        <is>
          <t xml:space="preserve">Unclassified</t>
        </is>
      </c>
      <c r="S214" s="2" t="inlineStr">
        <is>
          <t xml:space="preserve">Not started</t>
        </is>
      </c>
    </row>
    <row r="215">
      <c r="A215" s="2" t="inlineStr">
        <is>
          <t xml:space="preserve">CICD-03</t>
        </is>
      </c>
      <c r="B215" s="2" t="inlineStr">
        <is>
          <t xml:space="preserve">Server and Deployment</t>
        </is>
      </c>
      <c r="C215" s="2" t="inlineStr">
        <is>
          <t xml:space="preserve">Actions › Full Validation › Manual regression</t>
        </is>
      </c>
      <c r="D215" s="2" t="inlineStr">
        <is>
          <t xml:space="preserve">Full Validation runs only by manual dispatch, runs the complete backend and browser suites, uploads reports, and no other workflow or publication step depends on it.</t>
        </is>
      </c>
      <c r="E215" s="2" t="inlineStr">
        <is>
          <t xml:space="preserve">High</t>
        </is>
      </c>
      <c r="F215" s="2" t="inlineStr">
        <is>
          <t xml:space="preserve">Not tested</t>
        </is>
      </c>
      <c r="G215" s="2" t="inlineStr">
        <is>
          <t xml:space="preserve">Pending</t>
        </is>
      </c>
      <c r="H215" s="2" t="inlineStr">
        <is>
          <t xml:space="preserve">backend/tests/test_workflows.py</t>
        </is>
      </c>
      <c r="I215" s="2" t="inlineStr">
        <is>
          <t xml:space="preserve"/>
        </is>
      </c>
      <c r="J215" s="2" t="inlineStr">
        <is>
          <t xml:space="preserve"/>
        </is>
      </c>
      <c r="K215" s="2" t="inlineStr">
        <is>
          <t xml:space="preserve"/>
        </is>
      </c>
      <c r="L215" s="2" t="inlineStr">
        <is>
          <t xml:space="preserve"/>
        </is>
      </c>
      <c r="M215" s="2" t="inlineStr">
        <is>
          <t xml:space="preserve"/>
        </is>
      </c>
      <c r="N215" s="2" t="inlineStr">
        <is>
          <t xml:space="preserve">After approval, dispatch once and check both jobs and the uploaded reports.</t>
        </is>
      </c>
      <c r="O215" s="2" t="inlineStr">
        <is>
          <t xml:space="preserve">The manual form has not run on GitHub.</t>
        </is>
      </c>
      <c r="P215" s="2" t="inlineStr">
        <is>
          <t xml:space="preserve">docs/deployment/CI_CD.md; .github/workflows/full-validation.yml</t>
        </is>
      </c>
      <c r="Q215" s="2" t="inlineStr">
        <is>
          <t xml:space="preserve">Implemented</t>
        </is>
      </c>
      <c r="R215" s="2" t="inlineStr">
        <is>
          <t xml:space="preserve">Unclassified</t>
        </is>
      </c>
      <c r="S215" s="2" t="inlineStr">
        <is>
          <t xml:space="preserve">Not started</t>
        </is>
      </c>
    </row>
    <row r="216">
      <c r="A216" s="2" t="inlineStr">
        <is>
          <t xml:space="preserve">CICD-04</t>
        </is>
      </c>
      <c r="B216" s="2" t="inlineStr">
        <is>
          <t xml:space="preserve">Server and Deployment</t>
        </is>
      </c>
      <c r="C216" s="2" t="inlineStr">
        <is>
          <t xml:space="preserve">Actions › Build &amp; Release › No regression prerequisite</t>
        </is>
      </c>
      <c r="D216" s="2" t="inlineStr">
        <is>
          <t xml:space="preserve">Build Deployment Packages and the legacy Windows build run only lightweight checks; no complete backend or browser suite, status check, approval input or receipt entry requires a prior Full Regression.</t>
        </is>
      </c>
      <c r="E216" s="2" t="inlineStr">
        <is>
          <t xml:space="preserve">Critical</t>
        </is>
      </c>
      <c r="F216" s="2" t="inlineStr">
        <is>
          <t xml:space="preserve">Not tested</t>
        </is>
      </c>
      <c r="G216" s="2" t="inlineStr">
        <is>
          <t xml:space="preserve">Pending</t>
        </is>
      </c>
      <c r="H216" s="2" t="inlineStr">
        <is>
          <t xml:space="preserve">backend/tests/test_workflows.py; backend/tests/test_deployment_packaging.py; backend/tests/test_release_automation.py</t>
        </is>
      </c>
      <c r="I216" s="2" t="inlineStr">
        <is>
          <t xml:space="preserve"/>
        </is>
      </c>
      <c r="J216" s="2" t="inlineStr">
        <is>
          <t xml:space="preserve"/>
        </is>
      </c>
      <c r="K216" s="2" t="inlineStr">
        <is>
          <t xml:space="preserve"/>
        </is>
      </c>
      <c r="L216" s="2" t="inlineStr">
        <is>
          <t xml:space="preserve"/>
        </is>
      </c>
      <c r="M216" s="2" t="inlineStr">
        <is>
          <t xml:space="preserve"/>
        </is>
      </c>
      <c r="N216" s="2" t="inlineStr">
        <is>
          <t xml:space="preserve">After approval, dispatch a build-only run and confirm shared validation completes in minutes without the suites.</t>
        </is>
      </c>
      <c r="O216" s="2" t="inlineStr">
        <is>
          <t xml:space="preserve">Baseline run 41331855340 spent about 23 of 24.7 minutes in the shared validation suites; they were removed from the release path. Runtime effect (minutes saved) is not measured on GitHub yet.</t>
        </is>
      </c>
      <c r="P216" s="2" t="inlineStr">
        <is>
          <t xml:space="preserve">docs/deployment/CI_CD.md; .github/workflows/build-deployments.yml; scripts/deployment-package.py</t>
        </is>
      </c>
      <c r="Q216" s="2" t="inlineStr">
        <is>
          <t xml:space="preserve">Implemented</t>
        </is>
      </c>
      <c r="R216" s="2" t="inlineStr">
        <is>
          <t xml:space="preserve">Unclassified</t>
        </is>
      </c>
      <c r="S216" s="2" t="inlineStr">
        <is>
          <t xml:space="preserve">Not started</t>
        </is>
      </c>
    </row>
    <row r="217">
      <c r="A217" s="2" t="inlineStr">
        <is>
          <t xml:space="preserve">CICD-05</t>
        </is>
      </c>
      <c r="B217" s="2" t="inlineStr">
        <is>
          <t xml:space="preserve">Server and Deployment</t>
        </is>
      </c>
      <c r="C217" s="2" t="inlineStr">
        <is>
          <t xml:space="preserve">Actions › Windows Desktop package</t>
        </is>
      </c>
      <c r="D217" s="2" t="inlineStr">
        <is>
          <t xml:space="preserve">The windows-desktop target builds, passes the native smoke test and distribution round trip, and uploads a verified archive.</t>
        </is>
      </c>
      <c r="E217" s="2" t="inlineStr">
        <is>
          <t xml:space="preserve">High</t>
        </is>
      </c>
      <c r="F217" s="2" t="inlineStr">
        <is>
          <t xml:space="preserve">Not tested</t>
        </is>
      </c>
      <c r="G217" s="2" t="inlineStr">
        <is>
          <t xml:space="preserve">Pending</t>
        </is>
      </c>
      <c r="H217" s="2" t="inlineStr">
        <is>
          <t xml:space="preserve">backend/tests/test_deployment_packaging.py; backend/tests/test_windows_package.py</t>
        </is>
      </c>
      <c r="I217" s="2" t="inlineStr">
        <is>
          <t xml:space="preserve"/>
        </is>
      </c>
      <c r="J217" s="2" t="inlineStr">
        <is>
          <t xml:space="preserve"/>
        </is>
      </c>
      <c r="K217" s="2" t="inlineStr">
        <is>
          <t xml:space="preserve"/>
        </is>
      </c>
      <c r="L217" s="2" t="inlineStr">
        <is>
          <t xml:space="preserve"/>
        </is>
      </c>
      <c r="M217" s="2" t="inlineStr">
        <is>
          <t xml:space="preserve"/>
        </is>
      </c>
      <c r="N217" s="2" t="inlineStr">
        <is>
          <t xml:space="preserve">Dispatch windows-desktop after approval and check the artifact and the smoke test.</t>
        </is>
      </c>
      <c r="O217" s="2" t="inlineStr">
        <is>
          <t xml:space="preserve">Needs a Windows runner; failed before the CICD-01 fix and has not been rerun.</t>
        </is>
      </c>
      <c r="P217" s="2" t="inlineStr">
        <is>
          <t xml:space="preserve">docs/deployment/WINDOWS_DESKTOP.md; docs/validation/WORKFLOW_MATRIX.md</t>
        </is>
      </c>
      <c r="Q217" s="2" t="inlineStr">
        <is>
          <t xml:space="preserve">Implemented</t>
        </is>
      </c>
      <c r="R217" s="2" t="inlineStr">
        <is>
          <t xml:space="preserve">Unclassified</t>
        </is>
      </c>
      <c r="S217" s="2" t="inlineStr">
        <is>
          <t xml:space="preserve">Not started</t>
        </is>
      </c>
    </row>
    <row r="218">
      <c r="A218" s="2" t="inlineStr">
        <is>
          <t xml:space="preserve">CICD-06</t>
        </is>
      </c>
      <c r="B218" s="2" t="inlineStr">
        <is>
          <t xml:space="preserve">Server and Deployment</t>
        </is>
      </c>
      <c r="C218" s="2" t="inlineStr">
        <is>
          <t xml:space="preserve">Actions › Windows Service package</t>
        </is>
      </c>
      <c r="D218" s="2" t="inlineStr">
        <is>
          <t xml:space="preserve">The windows-service target builds, verifies the WinSW/SCM package contents and round trip, and uploads a verified archive.</t>
        </is>
      </c>
      <c r="E218" s="2" t="inlineStr">
        <is>
          <t xml:space="preserve">High</t>
        </is>
      </c>
      <c r="F218" s="2" t="inlineStr">
        <is>
          <t xml:space="preserve">Not tested</t>
        </is>
      </c>
      <c r="G218" s="2" t="inlineStr">
        <is>
          <t xml:space="preserve">Pending</t>
        </is>
      </c>
      <c r="H218" s="2" t="inlineStr">
        <is>
          <t xml:space="preserve">backend/tests/test_deployment_packaging.py</t>
        </is>
      </c>
      <c r="I218" s="2" t="inlineStr">
        <is>
          <t xml:space="preserve"/>
        </is>
      </c>
      <c r="J218" s="2" t="inlineStr">
        <is>
          <t xml:space="preserve"/>
        </is>
      </c>
      <c r="K218" s="2" t="inlineStr">
        <is>
          <t xml:space="preserve"/>
        </is>
      </c>
      <c r="L218" s="2" t="inlineStr">
        <is>
          <t xml:space="preserve"/>
        </is>
      </c>
      <c r="M218" s="2" t="inlineStr">
        <is>
          <t xml:space="preserve"/>
        </is>
      </c>
      <c r="N218" s="2" t="inlineStr">
        <is>
          <t xml:space="preserve">Dispatch windows-service after approval; install on a test host to confirm SCM behavior.</t>
        </is>
      </c>
      <c r="O218" s="2" t="inlineStr">
        <is>
          <t xml:space="preserve">Needs a Windows runner and a real SCM host; not run.</t>
        </is>
      </c>
      <c r="P218" s="2" t="inlineStr">
        <is>
          <t xml:space="preserve">docs/deployment/WINDOWS_SERVICE.md; docs/validation/WORKFLOW_MATRIX.md</t>
        </is>
      </c>
      <c r="Q218" s="2" t="inlineStr">
        <is>
          <t xml:space="preserve">Implemented</t>
        </is>
      </c>
      <c r="R218" s="2" t="inlineStr">
        <is>
          <t xml:space="preserve">Unclassified</t>
        </is>
      </c>
      <c r="S218" s="2" t="inlineStr">
        <is>
          <t xml:space="preserve">Not started</t>
        </is>
      </c>
    </row>
    <row r="219">
      <c r="A219" s="2" t="inlineStr">
        <is>
          <t xml:space="preserve">CICD-07</t>
        </is>
      </c>
      <c r="B219" s="2" t="inlineStr">
        <is>
          <t xml:space="preserve">Server and Deployment</t>
        </is>
      </c>
      <c r="C219" s="2" t="inlineStr">
        <is>
          <t xml:space="preserve">Actions › Linux Docker package</t>
        </is>
      </c>
      <c r="D219" s="2" t="inlineStr">
        <is>
          <t xml:space="preserve">The linux-docker target builds the image archive, passes the container smoke test and round trip.</t>
        </is>
      </c>
      <c r="E219" s="2" t="inlineStr">
        <is>
          <t xml:space="preserve">High</t>
        </is>
      </c>
      <c r="F219" s="2" t="inlineStr">
        <is>
          <t xml:space="preserve">Not tested</t>
        </is>
      </c>
      <c r="G219" s="2" t="inlineStr">
        <is>
          <t xml:space="preserve">Pending</t>
        </is>
      </c>
      <c r="H219" s="2" t="inlineStr">
        <is>
          <t xml:space="preserve">backend/tests/test_deployment_packaging.py; backend/tests/test_deployment_contracts.py</t>
        </is>
      </c>
      <c r="I219" s="2" t="inlineStr">
        <is>
          <t xml:space="preserve"/>
        </is>
      </c>
      <c r="J219" s="2" t="inlineStr">
        <is>
          <t xml:space="preserve"/>
        </is>
      </c>
      <c r="K219" s="2" t="inlineStr">
        <is>
          <t xml:space="preserve"/>
        </is>
      </c>
      <c r="L219" s="2" t="inlineStr">
        <is>
          <t xml:space="preserve"/>
        </is>
      </c>
      <c r="M219" s="2" t="inlineStr">
        <is>
          <t xml:space="preserve"/>
        </is>
      </c>
      <c r="N219" s="2" t="inlineStr">
        <is>
          <t xml:space="preserve">Dispatch linux-docker after approval; run the image on a test host.</t>
        </is>
      </c>
      <c r="O219" s="2" t="inlineStr">
        <is>
          <t xml:space="preserve">Docker was not run locally; no GitHub run since the change.</t>
        </is>
      </c>
      <c r="P219" s="2" t="inlineStr">
        <is>
          <t xml:space="preserve">docs/deployment/LINUX_DOCKER.md; docs/validation/WORKFLOW_MATRIX.md</t>
        </is>
      </c>
      <c r="Q219" s="2" t="inlineStr">
        <is>
          <t xml:space="preserve">Implemented</t>
        </is>
      </c>
      <c r="R219" s="2" t="inlineStr">
        <is>
          <t xml:space="preserve">Unclassified</t>
        </is>
      </c>
      <c r="S219" s="2" t="inlineStr">
        <is>
          <t xml:space="preserve">Not started</t>
        </is>
      </c>
    </row>
    <row r="220">
      <c r="A220" s="2" t="inlineStr">
        <is>
          <t xml:space="preserve">CICD-08</t>
        </is>
      </c>
      <c r="B220" s="2" t="inlineStr">
        <is>
          <t xml:space="preserve">Server and Deployment</t>
        </is>
      </c>
      <c r="C220" s="2" t="inlineStr">
        <is>
          <t xml:space="preserve">Actions › Linux Native package</t>
        </is>
      </c>
      <c r="D220" s="2" t="inlineStr">
        <is>
          <t xml:space="preserve">The linux-native target builds the archive, validates the systemd unit and round trip.</t>
        </is>
      </c>
      <c r="E220" s="2" t="inlineStr">
        <is>
          <t xml:space="preserve">High</t>
        </is>
      </c>
      <c r="F220" s="2" t="inlineStr">
        <is>
          <t xml:space="preserve">Not tested</t>
        </is>
      </c>
      <c r="G220" s="2" t="inlineStr">
        <is>
          <t xml:space="preserve">Pending</t>
        </is>
      </c>
      <c r="H220" s="2" t="inlineStr">
        <is>
          <t xml:space="preserve">backend/tests/test_deployment_packaging.py; backend/tests/test_deployment_contracts.py</t>
        </is>
      </c>
      <c r="I220" s="2" t="inlineStr">
        <is>
          <t xml:space="preserve"/>
        </is>
      </c>
      <c r="J220" s="2" t="inlineStr">
        <is>
          <t xml:space="preserve"/>
        </is>
      </c>
      <c r="K220" s="2" t="inlineStr">
        <is>
          <t xml:space="preserve"/>
        </is>
      </c>
      <c r="L220" s="2" t="inlineStr">
        <is>
          <t xml:space="preserve"/>
        </is>
      </c>
      <c r="M220" s="2" t="inlineStr">
        <is>
          <t xml:space="preserve"/>
        </is>
      </c>
      <c r="N220" s="2" t="inlineStr">
        <is>
          <t xml:space="preserve">Dispatch linux-native after approval; install on a host with systemd.</t>
        </is>
      </c>
      <c r="O220" s="2" t="inlineStr">
        <is>
          <t xml:space="preserve">Real systemd was not booted; no GitHub run since the change.</t>
        </is>
      </c>
      <c r="P220" s="2" t="inlineStr">
        <is>
          <t xml:space="preserve">docs/deployment/LINUX_NATIVE.md; docs/validation/WORKFLOW_MATRIX.md</t>
        </is>
      </c>
      <c r="Q220" s="2" t="inlineStr">
        <is>
          <t xml:space="preserve">Implemented</t>
        </is>
      </c>
      <c r="R220" s="2" t="inlineStr">
        <is>
          <t xml:space="preserve">Unclassified</t>
        </is>
      </c>
      <c r="S220" s="2" t="inlineStr">
        <is>
          <t xml:space="preserve">Not started</t>
        </is>
      </c>
    </row>
    <row r="221">
      <c r="A221" s="2" t="inlineStr">
        <is>
          <t xml:space="preserve">CICD-09</t>
        </is>
      </c>
      <c r="B221" s="2" t="inlineStr">
        <is>
          <t xml:space="preserve">Server and Deployment</t>
        </is>
      </c>
      <c r="C221" s="2" t="inlineStr">
        <is>
          <t xml:space="preserve">Actions › Release channels and versions</t>
        </is>
      </c>
      <c r="D221" s="2" t="inlineStr">
        <is>
          <t xml:space="preserve">Alpha, Beta, Release Candidate and Stable produce the expected versions and tags; invalid versions or sequences are rejected; Stable is published only from main; duplicate versions are refused.</t>
        </is>
      </c>
      <c r="E221" s="2" t="inlineStr">
        <is>
          <t xml:space="preserve">High</t>
        </is>
      </c>
      <c r="F221" s="2" t="inlineStr">
        <is>
          <t xml:space="preserve">Not tested</t>
        </is>
      </c>
      <c r="G221" s="2" t="inlineStr">
        <is>
          <t xml:space="preserve">Pending</t>
        </is>
      </c>
      <c r="H221" s="2" t="inlineStr">
        <is>
          <t xml:space="preserve">backend/tests/test_deployment_release.py</t>
        </is>
      </c>
      <c r="I221" s="2" t="inlineStr">
        <is>
          <t xml:space="preserve"/>
        </is>
      </c>
      <c r="J221" s="2" t="inlineStr">
        <is>
          <t xml:space="preserve"/>
        </is>
      </c>
      <c r="K221" s="2" t="inlineStr">
        <is>
          <t xml:space="preserve"/>
        </is>
      </c>
      <c r="L221" s="2" t="inlineStr">
        <is>
          <t xml:space="preserve"/>
        </is>
      </c>
      <c r="M221" s="2" t="inlineStr">
        <is>
          <t xml:space="preserve"/>
        </is>
      </c>
      <c r="N221" s="2" t="inlineStr">
        <is>
          <t xml:space="preserve">After approval, publish one Beta test release and check tag, flags and assets.</t>
        </is>
      </c>
      <c r="O221" s="2" t="inlineStr">
        <is>
          <t xml:space="preserve">Stable-from-main is enforced in code (plan job and publish). No test release has been published; publication is verified against a fake API only.</t>
        </is>
      </c>
      <c r="P221" s="2" t="inlineStr">
        <is>
          <t xml:space="preserve">docs/deployment/RELEASES.md; docs/validation/WORKFLOW_MATRIX.md</t>
        </is>
      </c>
      <c r="Q221" s="2" t="inlineStr">
        <is>
          <t xml:space="preserve">Implemented</t>
        </is>
      </c>
      <c r="R221" s="2" t="inlineStr">
        <is>
          <t xml:space="preserve">Unclassified</t>
        </is>
      </c>
      <c r="S221" s="2" t="inlineStr">
        <is>
          <t xml:space="preserve">Not started</t>
        </is>
      </c>
    </row>
    <row r="222">
      <c r="A222" s="2" t="inlineStr">
        <is>
          <t xml:space="preserve">CICD-10</t>
        </is>
      </c>
      <c r="B222" s="2" t="inlineStr">
        <is>
          <t xml:space="preserve">Server and Deployment</t>
        </is>
      </c>
      <c r="C222" s="2" t="inlineStr">
        <is>
          <t xml:space="preserve">Actions › Artifact verification and provenance</t>
        </is>
      </c>
      <c r="D222" s="2" t="inlineStr">
        <is>
          <t xml:space="preserve">Only same-run, same-commit artifacts of selected packages are collected; digests and checksums are verified; a missing, corrupted or unselected artifact stops publication before any release exists.</t>
        </is>
      </c>
      <c r="E222" s="2" t="inlineStr">
        <is>
          <t xml:space="preserve">Critical</t>
        </is>
      </c>
      <c r="F222" s="2" t="inlineStr">
        <is>
          <t xml:space="preserve">Not tested</t>
        </is>
      </c>
      <c r="G222" s="2" t="inlineStr">
        <is>
          <t xml:space="preserve">Pending</t>
        </is>
      </c>
      <c r="H222" s="2" t="inlineStr">
        <is>
          <t xml:space="preserve">backend/tests/test_deployment_release.py; backend/tests/test_deployment_packaging.py</t>
        </is>
      </c>
      <c r="I222" s="2" t="inlineStr">
        <is>
          <t xml:space="preserve"/>
        </is>
      </c>
      <c r="J222" s="2" t="inlineStr">
        <is>
          <t xml:space="preserve"/>
        </is>
      </c>
      <c r="K222" s="2" t="inlineStr">
        <is>
          <t xml:space="preserve"/>
        </is>
      </c>
      <c r="L222" s="2" t="inlineStr">
        <is>
          <t xml:space="preserve"/>
        </is>
      </c>
      <c r="M222" s="2" t="inlineStr">
        <is>
          <t xml:space="preserve"/>
        </is>
      </c>
      <c r="N222" s="2" t="inlineStr">
        <is>
          <t xml:space="preserve">Review a real run: artifact IDs, digests and the sealed receipt.</t>
        </is>
      </c>
      <c r="O222" s="2" t="inlineStr">
        <is>
          <t xml:space="preserve">Offline only; no real publication run.</t>
        </is>
      </c>
      <c r="P222" s="2" t="inlineStr">
        <is>
          <t xml:space="preserve">docs/deployment/CI_CD.md; docs/validation/WORKFLOW_MATRIX.md</t>
        </is>
      </c>
      <c r="Q222" s="2" t="inlineStr">
        <is>
          <t xml:space="preserve">Implemented</t>
        </is>
      </c>
      <c r="R222" s="2" t="inlineStr">
        <is>
          <t xml:space="preserve">Unclassified</t>
        </is>
      </c>
      <c r="S222" s="2" t="inlineStr">
        <is>
          <t xml:space="preserve">Not started</t>
        </is>
      </c>
    </row>
    <row r="223">
      <c r="A223" s="2" t="inlineStr">
        <is>
          <t xml:space="preserve">CICD-11</t>
        </is>
      </c>
      <c r="B223" s="2" t="inlineStr">
        <is>
          <t xml:space="preserve">Server and Deployment</t>
        </is>
      </c>
      <c r="C223" s="2" t="inlineStr">
        <is>
          <t xml:space="preserve">Actions › Workflow execution contracts</t>
        </is>
      </c>
      <c r="D223" s="2" t="inlineStr">
        <is>
          <t xml:space="preserve">The offline contract (triggers, permissions, graph, conditions, policy) fails on any drift, and actionlint passes.</t>
        </is>
      </c>
      <c r="E223" s="2" t="inlineStr">
        <is>
          <t xml:space="preserve">High</t>
        </is>
      </c>
      <c r="F223" s="2" t="inlineStr">
        <is>
          <t xml:space="preserve">Not tested</t>
        </is>
      </c>
      <c r="G223" s="2" t="inlineStr">
        <is>
          <t xml:space="preserve">Pending</t>
        </is>
      </c>
      <c r="H223" s="2" t="inlineStr">
        <is>
          <t xml:space="preserve">backend/tests/test_workflows.py; backend/tests/test_deployment_selection.py</t>
        </is>
      </c>
      <c r="I223" s="2" t="inlineStr">
        <is>
          <t xml:space="preserve"/>
        </is>
      </c>
      <c r="J223" s="2" t="inlineStr">
        <is>
          <t xml:space="preserve"/>
        </is>
      </c>
      <c r="K223" s="2" t="inlineStr">
        <is>
          <t xml:space="preserve"/>
        </is>
      </c>
      <c r="L223" s="2" t="inlineStr">
        <is>
          <t xml:space="preserve"/>
        </is>
      </c>
      <c r="M223" s="2" t="inlineStr">
        <is>
          <t xml:space="preserve"/>
        </is>
      </c>
      <c r="N223" s="2" t="inlineStr">
        <is>
          <t xml:space="preserve">Run python scripts/check-workflows.py after editing any workflow.</t>
        </is>
      </c>
      <c r="O223" s="2" t="inlineStr">
        <is>
          <t xml:space="preserve">Contracts and actionlint passed on GitHub in run 41335937097. Contracts check structure, not runner behavior.</t>
        </is>
      </c>
      <c r="P223" s="2" t="inlineStr">
        <is>
          <t xml:space="preserve">scripts/check-workflows.py; docs/deployment/CI_CD.md</t>
        </is>
      </c>
      <c r="Q223" s="2" t="inlineStr">
        <is>
          <t xml:space="preserve">Implemented</t>
        </is>
      </c>
      <c r="R223" s="2" t="inlineStr">
        <is>
          <t xml:space="preserve">Unclassified</t>
        </is>
      </c>
      <c r="S223" s="2" t="inlineStr">
        <is>
          <t xml:space="preserve">Not started</t>
        </is>
      </c>
    </row>
    <row r="224">
      <c r="A224" s="2" t="inlineStr">
        <is>
          <t xml:space="preserve">CICD-12</t>
        </is>
      </c>
      <c r="B224" s="2" t="inlineStr">
        <is>
          <t xml:space="preserve">Server and Deployment</t>
        </is>
      </c>
      <c r="C224" s="2" t="inlineStr">
        <is>
          <t xml:space="preserve">Actions › CI/CD security</t>
        </is>
      </c>
      <c r="D224" s="2" t="inlineStr">
        <is>
          <t xml:space="preserve">Actions are SHA-pinned, checkout does not persist credentials, no pull_request_target, least-privilege tokens, inputs only via env, publication gated by channel environments.</t>
        </is>
      </c>
      <c r="E224" s="2" t="inlineStr">
        <is>
          <t xml:space="preserve">High</t>
        </is>
      </c>
      <c r="F224" s="2" t="inlineStr">
        <is>
          <t xml:space="preserve">Not tested</t>
        </is>
      </c>
      <c r="G224" s="2" t="inlineStr">
        <is>
          <t xml:space="preserve">Pending</t>
        </is>
      </c>
      <c r="H224" s="2" t="inlineStr">
        <is>
          <t xml:space="preserve">backend/tests/test_workflows.py; backend/tests/test_deployment_release.py</t>
        </is>
      </c>
      <c r="I224" s="2" t="inlineStr">
        <is>
          <t xml:space="preserve"/>
        </is>
      </c>
      <c r="J224" s="2" t="inlineStr">
        <is>
          <t xml:space="preserve"/>
        </is>
      </c>
      <c r="K224" s="2" t="inlineStr">
        <is>
          <t xml:space="preserve"/>
        </is>
      </c>
      <c r="L224" s="2" t="inlineStr">
        <is>
          <t xml:space="preserve"/>
        </is>
      </c>
      <c r="M224" s="2" t="inlineStr">
        <is>
          <t xml:space="preserve"/>
        </is>
      </c>
      <c r="N224" s="2" t="inlineStr">
        <is>
          <t xml:space="preserve">Confirm environment protection rules (required reviewers, main-only for sap-lens-stable) in repository settings.</t>
        </is>
      </c>
      <c r="O224" s="2" t="inlineStr">
        <is>
          <t xml:space="preserve">Repository audit: no confirmed issue left open; Stable-from-main gap fixed. Hardening recommendations are listed in the guide. Repository and environment settings cannot be read from the repository.</t>
        </is>
      </c>
      <c r="P224" s="2" t="inlineStr">
        <is>
          <t xml:space="preserve">docs/deployment/CI_CD.md; docs/deployment/RELEASES.md</t>
        </is>
      </c>
      <c r="Q224" s="2" t="inlineStr">
        <is>
          <t xml:space="preserve">Implemented</t>
        </is>
      </c>
      <c r="R224" s="2" t="inlineStr">
        <is>
          <t xml:space="preserve">Unclassified</t>
        </is>
      </c>
      <c r="S224" s="2" t="inlineStr">
        <is>
          <t xml:space="preserve">Not started</t>
        </is>
      </c>
    </row>
    <row r="225">
      <c r="A225" s="2" t="inlineStr">
        <is>
          <t xml:space="preserve">CICD-13</t>
        </is>
      </c>
      <c r="B225" s="2" t="inlineStr">
        <is>
          <t xml:space="preserve">Server and Deployment</t>
        </is>
      </c>
      <c r="C225" s="2" t="inlineStr">
        <is>
          <t xml:space="preserve">Actions › GitHub runtime validation</t>
        </is>
      </c>
      <c r="D225" s="2" t="inlineStr">
        <is>
          <t xml:space="preserve">Each workflow scenario in the matrix is verified by a completed GitHub run recorded with its URL.</t>
        </is>
      </c>
      <c r="E225" s="2" t="inlineStr">
        <is>
          <t xml:space="preserve">High</t>
        </is>
      </c>
      <c r="F225" s="2" t="inlineStr">
        <is>
          <t xml:space="preserve">Not tested</t>
        </is>
      </c>
      <c r="G225" s="2" t="inlineStr">
        <is>
          <t xml:space="preserve">Pending</t>
        </is>
      </c>
      <c r="H225" s="2" t="inlineStr">
        <is>
          <t xml:space="preserve"/>
        </is>
      </c>
      <c r="I225" s="2" t="inlineStr">
        <is>
          <t xml:space="preserve"/>
        </is>
      </c>
      <c r="J225" s="2" t="inlineStr">
        <is>
          <t xml:space="preserve"/>
        </is>
      </c>
      <c r="K225" s="2" t="inlineStr">
        <is>
          <t xml:space="preserve"/>
        </is>
      </c>
      <c r="L225" s="2" t="inlineStr">
        <is>
          <t xml:space="preserve"/>
        </is>
      </c>
      <c r="M225" s="2" t="inlineStr">
        <is>
          <t xml:space="preserve"/>
        </is>
      </c>
      <c r="N225" s="2" t="inlineStr">
        <is>
          <t xml:space="preserve">After approval, run the smallest set listed in the matrix: Windows package, Linux package, build-only, skipped jobs, safe publication.</t>
        </is>
      </c>
      <c r="O225" s="2" t="inlineStr">
        <is>
          <t xml:space="preserve">Fast Validation backend-only path verified (run 41335937097); the rest is pending. No workflow has been dispatched and no test release published without approval.</t>
        </is>
      </c>
      <c r="P225" s="2" t="inlineStr">
        <is>
          <t xml:space="preserve">docs/validation/WORKFLOW_MATRIX.md</t>
        </is>
      </c>
      <c r="Q225" s="2" t="inlineStr">
        <is>
          <t xml:space="preserve">Partially implemented</t>
        </is>
      </c>
      <c r="R225" s="2" t="inlineStr">
        <is>
          <t xml:space="preserve">Unclassified</t>
        </is>
      </c>
      <c r="S225" s="2" t="inlineStr">
        <is>
          <t xml:space="preserve">Not started</t>
        </is>
      </c>
    </row>
  </sheetData>
  <conditionalFormatting sqref="F2:F2000">
    <cfRule type="cellIs" dxfId="0" priority="1" operator="equal">
      <formula>"Passed"</formula>
    </cfRule>
    <cfRule type="cellIs" dxfId="1" priority="2" operator="equal">
      <formula>"Failed"</formula>
    </cfRule>
    <cfRule type="cellIs" dxfId="2" priority="3" operator="equal">
      <formula>"Needs improvement"</formula>
    </cfRule>
    <cfRule type="cellIs" dxfId="3" priority="4" operator="equal">
      <formula>"Blocked"</formula>
    </cfRule>
    <cfRule type="cellIs" dxfId="4" priority="5" operator="equal">
      <formula>"Not applicable"</formula>
    </cfRule>
  </conditionalFormatting>
  <conditionalFormatting sqref="E2:E2000">
    <cfRule type="cellIs" dxfId="1" priority="6" operator="equal">
      <formula>"Critical"</formula>
    </cfRule>
    <cfRule type="cellIs" dxfId="2" priority="7" operator="equal">
      <formula>"High"</formula>
    </cfRule>
    <cfRule type="cellIs" dxfId="3" priority="8" operator="equal">
      <formula>"Medium"</formula>
    </cfRule>
  </conditionalFormatting>
  <conditionalFormatting sqref="G2:G2000">
    <cfRule type="cellIs" dxfId="0" priority="9" operator="equal">
      <formula>"Approved"</formula>
    </cfRule>
    <cfRule type="cellIs" dxfId="1" priority="10" operator="equal">
      <formula>"Rejected"</formula>
    </cfRule>
  </conditionalFormatting>
  <dataValidations count="6">
    <dataValidation type="list" allowBlank="1" showErrorMessage="1" sqref="E2:E2000">
      <formula1>"Not set,Critical,High,Medium,Low"</formula1>
    </dataValidation>
    <dataValidation type="list" allowBlank="1" showErrorMessage="1" sqref="F2:F2000">
      <formula1>"Not tested,Passed,Failed,Needs improvement,Blocked,Not applicable"</formula1>
    </dataValidation>
    <dataValidation type="list" allowBlank="1" showErrorMessage="1" sqref="G2:G2000">
      <formula1>"Pending,Approved,Rejected,Not applicable"</formula1>
    </dataValidation>
    <dataValidation type="list" allowBlank="1" showErrorMessage="1" sqref="Q2:Q2000">
      <formula1>"Not assessed,Not implemented,Partially implemented,Implemented"</formula1>
    </dataValidation>
    <dataValidation type="list" allowBlank="1" showErrorMessage="1" sqref="R2:R2000">
      <formula1>"Unclassified,Current defect,Improvement opportunity,Not an issue"</formula1>
    </dataValidation>
    <dataValidation type="list" allowBlank="1" showErrorMessage="1" sqref="S2:S2000">
      <formula1>"Not started,Pending retest,Retest passed,Retest failed"</formula1>
    </dataValidation>
  </dataValidations>
  <tableParts count="1">
    <tablePart r:id="rId1"/>
  </tableParts>
</worksheet>
</file>

<file path=xl/worksheets/sheet3.xml><?xml version="1.0" encoding="utf-8"?>
<worksheet xmlns="http://schemas.openxmlformats.org/spreadsheetml/2006/main" xmlns:r="http://schemas.openxmlformats.org/officeDocument/2006/relationships">
  <sheetViews>
    <sheetView workbookViewId="0">
      <pane xSplit="1" ySplit="1" topLeftCell="B2" activePane="bottomRight" state="frozen"/>
    </sheetView>
  </sheetViews>
  <cols>
    <col min="1" max="1" width="10" customWidth="1"/>
    <col min="2" max="2" width="30" customWidth="1"/>
    <col min="3" max="3" width="34" customWidth="1"/>
    <col min="4" max="4" width="11" customWidth="1"/>
    <col min="5" max="5" width="16" customWidth="1"/>
    <col min="6" max="6" width="24" customWidth="1"/>
    <col min="7" max="7" width="60" customWidth="1"/>
    <col min="8" max="8" width="40" customWidth="1"/>
  </cols>
  <sheetData>
    <row r="1">
      <c r="A1" s="1" t="inlineStr">
        <is>
          <t xml:space="preserve">ID</t>
        </is>
      </c>
      <c r="B1" s="1" t="inlineStr">
        <is>
          <t xml:space="preserve">Area</t>
        </is>
      </c>
      <c r="C1" s="1" t="inlineStr">
        <is>
          <t xml:space="preserve">Page/component</t>
        </is>
      </c>
      <c r="D1" s="1" t="inlineStr">
        <is>
          <t xml:space="preserve">Priority</t>
        </is>
      </c>
      <c r="E1" s="1" t="inlineStr">
        <is>
          <t xml:space="preserve">Status</t>
        </is>
      </c>
      <c r="F1" s="1" t="inlineStr">
        <is>
          <t xml:space="preserve">Linked issue or finding</t>
        </is>
      </c>
      <c r="G1" s="1" t="inlineStr">
        <is>
          <t xml:space="preserve">Notes</t>
        </is>
      </c>
      <c r="H1" s="1" t="inlineStr">
        <is>
          <t xml:space="preserve">Known limitations</t>
        </is>
      </c>
    </row>
    <row r="2">
      <c r="A2" s="2" t="inlineStr">
        <is>
          <t xml:space="preserve">PKG-009</t>
        </is>
      </c>
      <c r="B2" s="2" t="inlineStr">
        <is>
          <t xml:space="preserve">Access Package</t>
        </is>
      </c>
      <c r="C2" s="2" t="inlineStr">
        <is>
          <t xml:space="preserve">Role Lookup and Release Roles › Floating bars on narrow screens</t>
        </is>
      </c>
      <c r="D2" s="2" t="inlineStr">
        <is>
          <t xml:space="preserve">Low</t>
        </is>
      </c>
      <c r="E2" s="2" t="inlineStr">
        <is>
          <t xml:space="preserve">Needs improvement</t>
        </is>
      </c>
      <c r="F2" s="2" t="inlineStr">
        <is>
          <t xml:space="preserve"/>
        </is>
      </c>
      <c r="G2" s="2" t="inlineStr">
        <is>
          <t xml:space="preserve">Round 4 visual QA at 375 px: the package bar wraps its two buttons onto separate lines and, with the selection bar, stacks to roughly a quarter of the viewport height.</t>
        </is>
      </c>
      <c r="H2" s="2" t="inlineStr">
        <is>
          <t xml:space="preserve"/>
        </is>
      </c>
    </row>
    <row r="3">
      <c r="A3" s="2" t="inlineStr">
        <is>
          <t xml:space="preserve">SODR-006</t>
        </is>
      </c>
      <c r="B3" s="2" t="inlineStr">
        <is>
          <t xml:space="preserve">SoD Reviews</t>
        </is>
      </c>
      <c r="C3" s="2" t="inlineStr">
        <is>
          <t xml:space="preserve">Remediation › Table layout</t>
        </is>
      </c>
      <c r="D3" s="2" t="inlineStr">
        <is>
          <t xml:space="preserve">Low</t>
        </is>
      </c>
      <c r="E3" s="2" t="inlineStr">
        <is>
          <t xml:space="preserve">Needs improvement</t>
        </is>
      </c>
      <c r="F3" s="2" t="inlineStr">
        <is>
          <t xml:space="preserve"/>
        </is>
      </c>
      <c r="G3" s="2" t="inlineStr">
        <is>
          <t xml:space="preserve">Round 3 visual QA: at 1280 px with the filter sidebar open the table scrolls horizontally inside its card, so the Actions column is partly hidden until scrolled. The page itself does not overflow.</t>
        </is>
      </c>
      <c r="H3" s="2" t="inlineStr">
        <is>
          <t xml:space="preserve"/>
        </is>
      </c>
    </row>
    <row r="4">
      <c r="A4" s="2" t="inlineStr">
        <is>
          <t xml:space="preserve">UI-016</t>
        </is>
      </c>
      <c r="B4" s="2" t="inlineStr">
        <is>
          <t xml:space="preserve">Component Library</t>
        </is>
      </c>
      <c r="C4" s="2" t="inlineStr">
        <is>
          <t xml:space="preserve">Components › Info tip trigger size</t>
        </is>
      </c>
      <c r="D4" s="2" t="inlineStr">
        <is>
          <t xml:space="preserve">Low</t>
        </is>
      </c>
      <c r="E4" s="2" t="inlineStr">
        <is>
          <t xml:space="preserve">Needs improvement</t>
        </is>
      </c>
      <c r="F4" s="2" t="inlineStr">
        <is>
          <t xml:space="preserve"/>
        </is>
      </c>
      <c r="G4" s="2" t="inlineStr">
        <is>
          <t xml:space="preserve">Round 4 visual QA: the shared 32 px icon button is taller than headings such as Account review progress.</t>
        </is>
      </c>
      <c r="H4" s="2" t="inlineStr">
        <is>
          <t xml:space="preserve"/>
        </is>
      </c>
    </row>
    <row r="5">
      <c r="A5" s="2" t="inlineStr">
        <is>
          <t xml:space="preserve">DEP-005</t>
        </is>
      </c>
      <c r="B5" s="2" t="inlineStr">
        <is>
          <t xml:space="preserve">Desktop and Startup</t>
        </is>
      </c>
      <c r="C5" s="2" t="inlineStr">
        <is>
          <t xml:space="preserve">Windows › Desktop lifecycle (WebView2)</t>
        </is>
      </c>
      <c r="D5" s="2" t="inlineStr">
        <is>
          <t xml:space="preserve">Not set</t>
        </is>
      </c>
      <c r="E5" s="2" t="inlineStr">
        <is>
          <t xml:space="preserve">Blocked</t>
        </is>
      </c>
      <c r="F5" s="2" t="inlineStr">
        <is>
          <t xml:space="preserve"/>
        </is>
      </c>
      <c r="G5" s="2" t="inlineStr">
        <is>
          <t xml:space="preserve">Not verified in Linux CI: needs a Windows host (see docs/development/TESTING.md, platform limits).</t>
        </is>
      </c>
      <c r="H5" s="2" t="inlineStr">
        <is>
          <t xml:space="preserve"/>
        </is>
      </c>
    </row>
    <row r="6">
      <c r="A6" s="2" t="inlineStr">
        <is>
          <t xml:space="preserve">DEP-007</t>
        </is>
      </c>
      <c r="B6" s="2" t="inlineStr">
        <is>
          <t xml:space="preserve">Desktop and Startup</t>
        </is>
      </c>
      <c r="C6" s="2" t="inlineStr">
        <is>
          <t xml:space="preserve">Windows › Installer</t>
        </is>
      </c>
      <c r="D6" s="2" t="inlineStr">
        <is>
          <t xml:space="preserve">Not set</t>
        </is>
      </c>
      <c r="E6" s="2" t="inlineStr">
        <is>
          <t xml:space="preserve">Blocked</t>
        </is>
      </c>
      <c r="F6" s="2" t="inlineStr">
        <is>
          <t xml:space="preserve"/>
        </is>
      </c>
      <c r="G6" s="2" t="inlineStr">
        <is>
          <t xml:space="preserve">Not verified in Linux CI: needs a Windows host (see docs/development/TESTING.md, platform limits).</t>
        </is>
      </c>
      <c r="H6" s="2" t="inlineStr">
        <is>
          <t xml:space="preserve"/>
        </is>
      </c>
    </row>
    <row r="7">
      <c r="A7" s="2" t="inlineStr">
        <is>
          <t xml:space="preserve">DEP-006</t>
        </is>
      </c>
      <c r="B7" s="2" t="inlineStr">
        <is>
          <t xml:space="preserve">Server and Deployment</t>
        </is>
      </c>
      <c r="C7" s="2" t="inlineStr">
        <is>
          <t xml:space="preserve">Windows › Windows Service</t>
        </is>
      </c>
      <c r="D7" s="2" t="inlineStr">
        <is>
          <t xml:space="preserve">Not set</t>
        </is>
      </c>
      <c r="E7" s="2" t="inlineStr">
        <is>
          <t xml:space="preserve">Blocked</t>
        </is>
      </c>
      <c r="F7" s="2" t="inlineStr">
        <is>
          <t xml:space="preserve"/>
        </is>
      </c>
      <c r="G7" s="2" t="inlineStr">
        <is>
          <t xml:space="preserve">Not verified in Linux CI: needs a Windows host (see docs/development/TESTING.md, platform limits).</t>
        </is>
      </c>
      <c r="H7" s="2" t="inlineStr">
        <is>
          <t xml:space="preserve"/>
        </is>
      </c>
    </row>
    <row r="8">
      <c r="A8" s="2" t="inlineStr">
        <is>
          <t xml:space="preserve">DEP-002</t>
        </is>
      </c>
      <c r="B8" s="2" t="inlineStr">
        <is>
          <t xml:space="preserve">Security and Data Integrity</t>
        </is>
      </c>
      <c r="C8" s="2" t="inlineStr">
        <is>
          <t xml:space="preserve">Runtime › Server mode authentication</t>
        </is>
      </c>
      <c r="D8" s="2" t="inlineStr">
        <is>
          <t xml:space="preserve">Not set</t>
        </is>
      </c>
      <c r="E8" s="2" t="inlineStr">
        <is>
          <t xml:space="preserve">Not tested</t>
        </is>
      </c>
      <c r="F8" s="2" t="inlineStr">
        <is>
          <t xml:space="preserve">SEC-02; SEC-03</t>
        </is>
      </c>
      <c r="G8" s="2" t="inlineStr">
        <is>
          <t xml:space="preserve"/>
        </is>
      </c>
      <c r="H8" s="2" t="inlineStr">
        <is>
          <t xml:space="preserve"/>
        </is>
      </c>
    </row>
    <row r="9">
      <c r="A9" s="2" t="inlineStr">
        <is>
          <t xml:space="preserve">SEC-001</t>
        </is>
      </c>
      <c r="B9" s="2" t="inlineStr">
        <is>
          <t xml:space="preserve">Security and Data Integrity</t>
        </is>
      </c>
      <c r="C9" s="2" t="inlineStr">
        <is>
          <t xml:space="preserve">API › Authentication boundary</t>
        </is>
      </c>
      <c r="D9" s="2" t="inlineStr">
        <is>
          <t xml:space="preserve">High</t>
        </is>
      </c>
      <c r="E9" s="2" t="inlineStr">
        <is>
          <t xml:space="preserve">Not tested</t>
        </is>
      </c>
      <c r="F9" s="2" t="inlineStr">
        <is>
          <t xml:space="preserve">Controls verified (SECURITY_REVIEW_R8)</t>
        </is>
      </c>
      <c r="G9" s="2" t="inlineStr">
        <is>
          <t xml:space="preserve">122 operations probed in the R8 security review.</t>
        </is>
      </c>
      <c r="H9" s="2" t="inlineStr">
        <is>
          <t xml:space="preserve"/>
        </is>
      </c>
    </row>
    <row r="10">
      <c r="A10" s="2" t="inlineStr">
        <is>
          <t xml:space="preserve">SEC-002</t>
        </is>
      </c>
      <c r="B10" s="2" t="inlineStr">
        <is>
          <t xml:space="preserve">Security and Data Integrity</t>
        </is>
      </c>
      <c r="C10" s="2" t="inlineStr">
        <is>
          <t xml:space="preserve">Exports › Spreadsheet formula neutralisation</t>
        </is>
      </c>
      <c r="D10" s="2" t="inlineStr">
        <is>
          <t xml:space="preserve">Medium</t>
        </is>
      </c>
      <c r="E10" s="2" t="inlineStr">
        <is>
          <t xml:space="preserve">Not tested</t>
        </is>
      </c>
      <c r="F10" s="2" t="inlineStr">
        <is>
          <t xml:space="preserve">SEC-01 (resolved in R8)</t>
        </is>
      </c>
      <c r="G10" s="2" t="inlineStr">
        <is>
          <t xml:space="preserve"/>
        </is>
      </c>
      <c r="H10" s="2" t="inlineStr">
        <is>
          <t xml:space="preserve"/>
        </is>
      </c>
    </row>
    <row r="11">
      <c r="A11" s="2" t="inlineStr">
        <is>
          <t xml:space="preserve">SEC-003</t>
        </is>
      </c>
      <c r="B11" s="2" t="inlineStr">
        <is>
          <t xml:space="preserve">Security and Data Integrity</t>
        </is>
      </c>
      <c r="C11" s="2" t="inlineStr">
        <is>
          <t xml:space="preserve">Server › Access secret and brute-force protection</t>
        </is>
      </c>
      <c r="D11" s="2" t="inlineStr">
        <is>
          <t xml:space="preserve">Medium</t>
        </is>
      </c>
      <c r="E11" s="2" t="inlineStr">
        <is>
          <t xml:space="preserve">Not tested</t>
        </is>
      </c>
      <c r="F11" s="2" t="inlineStr">
        <is>
          <t xml:space="preserve">SEC-02; SEC-03</t>
        </is>
      </c>
      <c r="G11" s="2" t="inlineStr">
        <is>
          <t xml:space="preserve">No throttling of failed Basic logins; group-readable secret files are accepted (documented limitations). Update R8.1: failed Basic sign-ins are throttled (R81-01) and group-readable secrets need an explicit opt-in (R81-02).</t>
        </is>
      </c>
      <c r="H11" s="2" t="inlineStr">
        <is>
          <t xml:space="preserve">Throttling is per process (see R81-01); distributed guessing relies on the 32 character secret.</t>
        </is>
      </c>
    </row>
    <row r="12">
      <c r="A12" s="2" t="inlineStr">
        <is>
          <t xml:space="preserve">SEC-004</t>
        </is>
      </c>
      <c r="B12" s="2" t="inlineStr">
        <is>
          <t xml:space="preserve">Security and Data Integrity</t>
        </is>
      </c>
      <c r="C12" s="2" t="inlineStr">
        <is>
          <t xml:space="preserve">Server › Source path confinement and uploads</t>
        </is>
      </c>
      <c r="D12" s="2" t="inlineStr">
        <is>
          <t xml:space="preserve">High</t>
        </is>
      </c>
      <c r="E12" s="2" t="inlineStr">
        <is>
          <t xml:space="preserve">Not tested</t>
        </is>
      </c>
      <c r="F12" s="2" t="inlineStr">
        <is>
          <t xml:space="preserve">Controls verified (SECURITY_REVIEW_R8)</t>
        </is>
      </c>
      <c r="G12" s="2" t="inlineStr">
        <is>
          <t xml:space="preserve"/>
        </is>
      </c>
      <c r="H12" s="2" t="inlineStr">
        <is>
          <t xml:space="preserve"/>
        </is>
      </c>
    </row>
    <row r="13">
      <c r="A13" s="2" t="inlineStr">
        <is>
          <t xml:space="preserve">SEC-005</t>
        </is>
      </c>
      <c r="B13" s="2" t="inlineStr">
        <is>
          <t xml:space="preserve">Security and Data Integrity</t>
        </is>
      </c>
      <c r="C13" s="2" t="inlineStr">
        <is>
          <t xml:space="preserve">API › Response headers and content security policy</t>
        </is>
      </c>
      <c r="D13" s="2" t="inlineStr">
        <is>
          <t xml:space="preserve">Low</t>
        </is>
      </c>
      <c r="E13" s="2" t="inlineStr">
        <is>
          <t xml:space="preserve">Not tested</t>
        </is>
      </c>
      <c r="F13" s="2" t="inlineStr">
        <is>
          <t xml:space="preserve">SEC-04</t>
        </is>
      </c>
      <c r="G13" s="2" t="inlineStr">
        <is>
          <t xml:space="preserve"/>
        </is>
      </c>
      <c r="H13" s="2" t="inlineStr">
        <is>
          <t xml:space="preserve"/>
        </is>
      </c>
    </row>
    <row r="14">
      <c r="A14" s="2" t="inlineStr">
        <is>
          <t xml:space="preserve">SEC-008</t>
        </is>
      </c>
      <c r="B14" s="2" t="inlineStr">
        <is>
          <t xml:space="preserve">Security and Data Integrity</t>
        </is>
      </c>
      <c r="C14" s="2" t="inlineStr">
        <is>
          <t xml:space="preserve">Deployment › Container, service and file permissions</t>
        </is>
      </c>
      <c r="D14" s="2" t="inlineStr">
        <is>
          <t xml:space="preserve">High</t>
        </is>
      </c>
      <c r="E14" s="2" t="inlineStr">
        <is>
          <t xml:space="preserve">Not tested</t>
        </is>
      </c>
      <c r="F14" s="2" t="inlineStr">
        <is>
          <t xml:space="preserve">SEC-07</t>
        </is>
      </c>
      <c r="G14" s="2" t="inlineStr">
        <is>
          <t xml:space="preserve">Static review of Dockerfile, compose.yml and the systemd unit only (R8). Runtime acceptance on systemd, Docker and Windows hosts was not executed.</t>
        </is>
      </c>
      <c r="H14" s="2" t="inlineStr">
        <is>
          <t xml:space="preserve">Not executable on the Linux CI host.</t>
        </is>
      </c>
    </row>
    <row r="15">
      <c r="A15" s="2" t="inlineStr">
        <is>
          <t xml:space="preserve">R81-01</t>
        </is>
      </c>
      <c r="B15" s="2" t="inlineStr">
        <is>
          <t xml:space="preserve">Security and Data Integrity</t>
        </is>
      </c>
      <c r="C15" s="2" t="inlineStr">
        <is>
          <t xml:space="preserve">Server › Failed Basic sign-in throttling</t>
        </is>
      </c>
      <c r="D15" s="2" t="inlineStr">
        <is>
          <t xml:space="preserve">High</t>
        </is>
      </c>
      <c r="E15" s="2" t="inlineStr">
        <is>
          <t xml:space="preserve">Not tested</t>
        </is>
      </c>
      <c r="F15" s="2" t="inlineStr">
        <is>
          <t xml:space="preserve">SEC-02</t>
        </is>
      </c>
      <c r="G15" s="2" t="inlineStr">
        <is>
          <t xml:space="preserve">Implemented in R8.1 (SEC-02). Automated tests use a fake clock and a TestClient; no real network, proxy or multi-worker deployment was exercised.</t>
        </is>
      </c>
      <c r="H15" s="2" t="inlineStr">
        <is>
          <t xml:space="preserve">State is per process and lost on restart; clients behind one NAT or an unlisted proxy share a lock-out; distributed guessing is slowed, not stopped.</t>
        </is>
      </c>
    </row>
    <row r="16">
      <c r="A16" s="2" t="inlineStr">
        <is>
          <t xml:space="preserve">R81-02</t>
        </is>
      </c>
      <c r="B16" s="2" t="inlineStr">
        <is>
          <t xml:space="preserve">Security and Data Integrity</t>
        </is>
      </c>
      <c r="C16" s="2" t="inlineStr">
        <is>
          <t xml:space="preserve">Server › Access secret file permissions (Linux)</t>
        </is>
      </c>
      <c r="D16" s="2" t="inlineStr">
        <is>
          <t xml:space="preserve">High</t>
        </is>
      </c>
      <c r="E16" s="2" t="inlineStr">
        <is>
          <t xml:space="preserve">Not tested</t>
        </is>
      </c>
      <c r="F16" s="2" t="inlineStr">
        <is>
          <t xml:space="preserve">SEC-03</t>
        </is>
      </c>
      <c r="G16" s="2" t="inlineStr">
        <is>
          <t xml:space="preserve">Implemented in R8.1 (SEC-03). Judged on the opened file; symlinks resolve to their target.</t>
        </is>
      </c>
      <c r="H16" s="2" t="inlineStr">
        <is>
          <t xml:space="preserve">An existing 0640 secret needs chmod 600 or the opt-in (migration step, documented). Not exercised under real systemd or Docker here.</t>
        </is>
      </c>
    </row>
    <row r="17">
      <c r="A17" s="2" t="inlineStr">
        <is>
          <t xml:space="preserve">R81-03</t>
        </is>
      </c>
      <c r="B17" s="2" t="inlineStr">
        <is>
          <t xml:space="preserve">Server and Deployment</t>
        </is>
      </c>
      <c r="C17" s="2" t="inlineStr">
        <is>
          <t xml:space="preserve">Windows service › Secret file ACL</t>
        </is>
      </c>
      <c r="D17" s="2" t="inlineStr">
        <is>
          <t xml:space="preserve">Medium</t>
        </is>
      </c>
      <c r="E17" s="2" t="inlineStr">
        <is>
          <t xml:space="preserve">Not tested</t>
        </is>
      </c>
      <c r="F17" s="2" t="inlineStr">
        <is>
          <t xml:space="preserve">SEC-03</t>
        </is>
      </c>
      <c r="G17" s="2" t="inlineStr">
        <is>
          <t xml:space="preserve">Provisioning applies the ACL with icacls (manage-server-service.ps1). Windows ACLs are not evaluated by the Linux tests and not checked at runtime.</t>
        </is>
      </c>
      <c r="H17" s="2" t="inlineStr">
        <is>
          <t xml:space="preserve">Blocked on a Windows host: not run in this validation.</t>
        </is>
      </c>
    </row>
    <row r="18">
      <c r="A18" s="2" t="inlineStr">
        <is>
          <t xml:space="preserve">R81-15</t>
        </is>
      </c>
      <c r="B18" s="2" t="inlineStr">
        <is>
          <t xml:space="preserve">Server and Deployment</t>
        </is>
      </c>
      <c r="C18" s="2" t="inlineStr">
        <is>
          <t xml:space="preserve">Docker and systemd › R8.1 changes</t>
        </is>
      </c>
      <c r="D18" s="2" t="inlineStr">
        <is>
          <t xml:space="preserve">High</t>
        </is>
      </c>
      <c r="E18" s="2" t="inlineStr">
        <is>
          <t xml:space="preserve">Not tested</t>
        </is>
      </c>
      <c r="F18" s="2" t="inlineStr">
        <is>
          <t xml:space="preserve">SEC-07</t>
        </is>
      </c>
      <c r="G18" s="2" t="inlineStr">
        <is>
          <t xml:space="preserve">The unit passed systemd-analyze verify; it was not booted. Docker was not run.</t>
        </is>
      </c>
      <c r="H18" s="2" t="inlineStr">
        <is>
          <t xml:space="preserve">Blocked here: no real systemd or Docker runtime.</t>
        </is>
      </c>
    </row>
  </sheetData>
  <autoFilter ref="A1:H18"/>
  <conditionalFormatting sqref="E2:E2000">
    <cfRule type="cellIs" dxfId="0" priority="1" operator="equal">
      <formula>"Passed"</formula>
    </cfRule>
    <cfRule type="cellIs" dxfId="1" priority="2" operator="equal">
      <formula>"Failed"</formula>
    </cfRule>
    <cfRule type="cellIs" dxfId="2" priority="3" operator="equal">
      <formula>"Needs improvement"</formula>
    </cfRule>
    <cfRule type="cellIs" dxfId="3" priority="4" operator="equal">
      <formula>"Blocked"</formula>
    </cfRule>
    <cfRule type="cellIs" dxfId="4" priority="5" operator="equal">
      <formula>"Not applicable"</formula>
    </cfRule>
  </conditionalFormatting>
  <conditionalFormatting sqref="D2:D2000">
    <cfRule type="cellIs" dxfId="1" priority="6" operator="equal">
      <formula>"Critical"</formula>
    </cfRule>
    <cfRule type="cellIs" dxfId="2" priority="7" operator="equal">
      <formula>"High"</formula>
    </cfRule>
    <cfRule type="cellIs" dxfId="3" priority="8" operator="equal">
      <formula>"Medium"</formula>
    </cfRule>
  </conditionalFormatting>
</worksheet>
</file>

<file path=xl/worksheets/sheet4.xml><?xml version="1.0" encoding="utf-8"?>
<worksheet xmlns="http://schemas.openxmlformats.org/spreadsheetml/2006/main" xmlns:r="http://schemas.openxmlformats.org/officeDocument/2006/relationships">
  <sheetViews>
    <sheetView workbookViewId="0">
      <pane xSplit="1" ySplit="1" topLeftCell="B2" activePane="bottomRight" state="frozen"/>
    </sheetView>
  </sheetViews>
  <cols>
    <col min="1" max="1" width="10" customWidth="1"/>
    <col min="2" max="2" width="30" customWidth="1"/>
    <col min="3" max="3" width="34" customWidth="1"/>
    <col min="4" max="4" width="11" customWidth="1"/>
    <col min="5" max="5" width="16" customWidth="1"/>
    <col min="6" max="6" width="60" customWidth="1"/>
    <col min="7" max="7" width="50" customWidth="1"/>
    <col min="8" max="8" width="24" customWidth="1"/>
  </cols>
  <sheetData>
    <row r="1">
      <c r="A1" s="1" t="inlineStr">
        <is>
          <t xml:space="preserve">ID</t>
        </is>
      </c>
      <c r="B1" s="1" t="inlineStr">
        <is>
          <t xml:space="preserve">Area</t>
        </is>
      </c>
      <c r="C1" s="1" t="inlineStr">
        <is>
          <t xml:space="preserve">Page/component</t>
        </is>
      </c>
      <c r="D1" s="1" t="inlineStr">
        <is>
          <t xml:space="preserve">Priority</t>
        </is>
      </c>
      <c r="E1" s="1" t="inlineStr">
        <is>
          <t xml:space="preserve">Status</t>
        </is>
      </c>
      <c r="F1" s="1" t="inlineStr">
        <is>
          <t xml:space="preserve">Potential future improvement</t>
        </is>
      </c>
      <c r="G1" s="1" t="inlineStr">
        <is>
          <t xml:space="preserve">Notes</t>
        </is>
      </c>
      <c r="H1" s="1" t="inlineStr">
        <is>
          <t xml:space="preserve">Linked issue or finding</t>
        </is>
      </c>
    </row>
    <row r="2">
      <c r="A2" s="2" t="inlineStr">
        <is>
          <t xml:space="preserve">PKG-009</t>
        </is>
      </c>
      <c r="B2" s="2" t="inlineStr">
        <is>
          <t xml:space="preserve">Access Package</t>
        </is>
      </c>
      <c r="C2" s="2" t="inlineStr">
        <is>
          <t xml:space="preserve">Role Lookup and Release Roles › Floating bars on narrow screens</t>
        </is>
      </c>
      <c r="D2" s="2" t="inlineStr">
        <is>
          <t xml:space="preserve">Low</t>
        </is>
      </c>
      <c r="E2" s="2" t="inlineStr">
        <is>
          <t xml:space="preserve">Needs improvement</t>
        </is>
      </c>
      <c r="F2" s="2" t="inlineStr">
        <is>
          <t xml:space="preserve"/>
        </is>
      </c>
      <c r="G2" s="2" t="inlineStr">
        <is>
          <t xml:space="preserve">Round 4 visual QA at 375 px: the package bar wraps its two buttons onto separate lines and, with the selection bar, stacks to roughly a quarter of the viewport height.</t>
        </is>
      </c>
      <c r="H2" s="2" t="inlineStr">
        <is>
          <t xml:space="preserve"/>
        </is>
      </c>
    </row>
    <row r="3">
      <c r="A3" s="2" t="inlineStr">
        <is>
          <t xml:space="preserve">SODR-006</t>
        </is>
      </c>
      <c r="B3" s="2" t="inlineStr">
        <is>
          <t xml:space="preserve">SoD Reviews</t>
        </is>
      </c>
      <c r="C3" s="2" t="inlineStr">
        <is>
          <t xml:space="preserve">Remediation › Table layout</t>
        </is>
      </c>
      <c r="D3" s="2" t="inlineStr">
        <is>
          <t xml:space="preserve">Low</t>
        </is>
      </c>
      <c r="E3" s="2" t="inlineStr">
        <is>
          <t xml:space="preserve">Needs improvement</t>
        </is>
      </c>
      <c r="F3" s="2" t="inlineStr">
        <is>
          <t xml:space="preserve"/>
        </is>
      </c>
      <c r="G3" s="2" t="inlineStr">
        <is>
          <t xml:space="preserve">Round 3 visual QA: at 1280 px with the filter sidebar open the table scrolls horizontally inside its card, so the Actions column is partly hidden until scrolled. The page itself does not overflow.</t>
        </is>
      </c>
      <c r="H3" s="2" t="inlineStr">
        <is>
          <t xml:space="preserve"/>
        </is>
      </c>
    </row>
    <row r="4">
      <c r="A4" s="2" t="inlineStr">
        <is>
          <t xml:space="preserve">UI-016</t>
        </is>
      </c>
      <c r="B4" s="2" t="inlineStr">
        <is>
          <t xml:space="preserve">Component Library</t>
        </is>
      </c>
      <c r="C4" s="2" t="inlineStr">
        <is>
          <t xml:space="preserve">Components › Info tip trigger size</t>
        </is>
      </c>
      <c r="D4" s="2" t="inlineStr">
        <is>
          <t xml:space="preserve">Low</t>
        </is>
      </c>
      <c r="E4" s="2" t="inlineStr">
        <is>
          <t xml:space="preserve">Needs improvement</t>
        </is>
      </c>
      <c r="F4" s="2" t="inlineStr">
        <is>
          <t xml:space="preserve"/>
        </is>
      </c>
      <c r="G4" s="2" t="inlineStr">
        <is>
          <t xml:space="preserve">Round 4 visual QA: the shared 32 px icon button is taller than headings such as Account review progress.</t>
        </is>
      </c>
      <c r="H4" s="2" t="inlineStr">
        <is>
          <t xml:space="preserve"/>
        </is>
      </c>
    </row>
    <row r="5">
      <c r="A5" s="2" t="inlineStr">
        <is>
          <t xml:space="preserve">DEP-002</t>
        </is>
      </c>
      <c r="B5" s="2" t="inlineStr">
        <is>
          <t xml:space="preserve">Security and Data Integrity</t>
        </is>
      </c>
      <c r="C5" s="2" t="inlineStr">
        <is>
          <t xml:space="preserve">Runtime › Server mode authentication</t>
        </is>
      </c>
      <c r="D5" s="2" t="inlineStr">
        <is>
          <t xml:space="preserve">Not set</t>
        </is>
      </c>
      <c r="E5" s="2" t="inlineStr">
        <is>
          <t xml:space="preserve">Not tested</t>
        </is>
      </c>
      <c r="F5" s="2" t="inlineStr">
        <is>
          <t xml:space="preserve">Throttle failed Basic logins and tighten secret-file permissions after a compatibility review (see SEC-003).</t>
        </is>
      </c>
      <c r="G5" s="2" t="inlineStr">
        <is>
          <t xml:space="preserve"/>
        </is>
      </c>
      <c r="H5" s="2" t="inlineStr">
        <is>
          <t xml:space="preserve">SEC-02; SEC-03</t>
        </is>
      </c>
    </row>
    <row r="6">
      <c r="A6" s="2" t="inlineStr">
        <is>
          <t xml:space="preserve">SEC-003</t>
        </is>
      </c>
      <c r="B6" s="2" t="inlineStr">
        <is>
          <t xml:space="preserve">Security and Data Integrity</t>
        </is>
      </c>
      <c r="C6" s="2" t="inlineStr">
        <is>
          <t xml:space="preserve">Server › Access secret and brute-force protection</t>
        </is>
      </c>
      <c r="D6" s="2" t="inlineStr">
        <is>
          <t xml:space="preserve">Medium</t>
        </is>
      </c>
      <c r="E6" s="2" t="inlineStr">
        <is>
          <t xml:space="preserve">Not tested</t>
        </is>
      </c>
      <c r="F6" s="2" t="inlineStr">
        <is>
          <t xml:space="preserve">Share throttle state across workers if the runtime ever scales out.</t>
        </is>
      </c>
      <c r="G6" s="2" t="inlineStr">
        <is>
          <t xml:space="preserve">No throttling of failed Basic logins; group-readable secret files are accepted (documented limitations). Update R8.1: failed Basic sign-ins are throttled (R81-01) and group-readable secrets need an explicit opt-in (R81-02).</t>
        </is>
      </c>
      <c r="H6" s="2" t="inlineStr">
        <is>
          <t xml:space="preserve">SEC-02; SEC-03</t>
        </is>
      </c>
    </row>
    <row r="7">
      <c r="A7" s="2" t="inlineStr">
        <is>
          <t xml:space="preserve">SEC-005</t>
        </is>
      </c>
      <c r="B7" s="2" t="inlineStr">
        <is>
          <t xml:space="preserve">Security and Data Integrity</t>
        </is>
      </c>
      <c r="C7" s="2" t="inlineStr">
        <is>
          <t xml:space="preserve">API › Response headers and content security policy</t>
        </is>
      </c>
      <c r="D7" s="2" t="inlineStr">
        <is>
          <t xml:space="preserve">Low</t>
        </is>
      </c>
      <c r="E7" s="2" t="inlineStr">
        <is>
          <t xml:space="preserve">Not tested</t>
        </is>
      </c>
      <c r="F7" s="2" t="inlineStr">
        <is>
          <t xml:space="preserve">Add a Permissions-Policy header and document HSTS at the TLS-terminating proxy.</t>
        </is>
      </c>
      <c r="G7" s="2" t="inlineStr">
        <is>
          <t xml:space="preserve"/>
        </is>
      </c>
      <c r="H7" s="2" t="inlineStr">
        <is>
          <t xml:space="preserve">SEC-04</t>
        </is>
      </c>
    </row>
    <row r="8">
      <c r="A8" s="2" t="inlineStr">
        <is>
          <t xml:space="preserve">SEC-008</t>
        </is>
      </c>
      <c r="B8" s="2" t="inlineStr">
        <is>
          <t xml:space="preserve">Security and Data Integrity</t>
        </is>
      </c>
      <c r="C8" s="2" t="inlineStr">
        <is>
          <t xml:space="preserve">Deployment › Container, service and file permissions</t>
        </is>
      </c>
      <c r="D8" s="2" t="inlineStr">
        <is>
          <t xml:space="preserve">High</t>
        </is>
      </c>
      <c r="E8" s="2" t="inlineStr">
        <is>
          <t xml:space="preserve">Not tested</t>
        </is>
      </c>
      <c r="F8" s="2" t="inlineStr">
        <is>
          <t xml:space="preserve">Further systemd sandboxing (PrivateDevices, ProtectKernelTunables, RestrictAddressFamilies, SystemCallFilter) after testing under systemd.</t>
        </is>
      </c>
      <c r="G8" s="2" t="inlineStr">
        <is>
          <t xml:space="preserve">Static review of Dockerfile, compose.yml and the systemd unit only (R8). Runtime acceptance on systemd, Docker and Windows hosts was not executed.</t>
        </is>
      </c>
      <c r="H8" s="2" t="inlineStr">
        <is>
          <t xml:space="preserve">SEC-07</t>
        </is>
      </c>
    </row>
    <row r="9">
      <c r="A9" s="2" t="inlineStr">
        <is>
          <t xml:space="preserve">R81-01</t>
        </is>
      </c>
      <c r="B9" s="2" t="inlineStr">
        <is>
          <t xml:space="preserve">Security and Data Integrity</t>
        </is>
      </c>
      <c r="C9" s="2" t="inlineStr">
        <is>
          <t xml:space="preserve">Server › Failed Basic sign-in throttling</t>
        </is>
      </c>
      <c r="D9" s="2" t="inlineStr">
        <is>
          <t xml:space="preserve">High</t>
        </is>
      </c>
      <c r="E9" s="2" t="inlineStr">
        <is>
          <t xml:space="preserve">Not tested</t>
        </is>
      </c>
      <c r="F9" s="2" t="inlineStr">
        <is>
          <t xml:space="preserve">Share counters between workers or hosts, or throttle per forwarded identity at the gateway.</t>
        </is>
      </c>
      <c r="G9" s="2" t="inlineStr">
        <is>
          <t xml:space="preserve">Implemented in R8.1 (SEC-02). Automated tests use a fake clock and a TestClient; no real network, proxy or multi-worker deployment was exercised.</t>
        </is>
      </c>
      <c r="H9" s="2" t="inlineStr">
        <is>
          <t xml:space="preserve">SEC-02</t>
        </is>
      </c>
    </row>
    <row r="10">
      <c r="A10" s="2" t="inlineStr">
        <is>
          <t xml:space="preserve">R81-02</t>
        </is>
      </c>
      <c r="B10" s="2" t="inlineStr">
        <is>
          <t xml:space="preserve">Security and Data Integrity</t>
        </is>
      </c>
      <c r="C10" s="2" t="inlineStr">
        <is>
          <t xml:space="preserve">Server › Access secret file permissions (Linux)</t>
        </is>
      </c>
      <c r="D10" s="2" t="inlineStr">
        <is>
          <t xml:space="preserve">High</t>
        </is>
      </c>
      <c r="E10" s="2" t="inlineStr">
        <is>
          <t xml:space="preserve">Not tested</t>
        </is>
      </c>
      <c r="F10" s="2" t="inlineStr">
        <is>
          <t xml:space="preserve">Verify the owner and effective access through the service account, not only the mode.</t>
        </is>
      </c>
      <c r="G10" s="2" t="inlineStr">
        <is>
          <t xml:space="preserve">Implemented in R8.1 (SEC-03). Judged on the opened file; symlinks resolve to their target.</t>
        </is>
      </c>
      <c r="H10" s="2" t="inlineStr">
        <is>
          <t xml:space="preserve">SEC-03</t>
        </is>
      </c>
    </row>
    <row r="11">
      <c r="A11" s="2" t="inlineStr">
        <is>
          <t xml:space="preserve">R81-03</t>
        </is>
      </c>
      <c r="B11" s="2" t="inlineStr">
        <is>
          <t xml:space="preserve">Server and Deployment</t>
        </is>
      </c>
      <c r="C11" s="2" t="inlineStr">
        <is>
          <t xml:space="preserve">Windows service › Secret file ACL</t>
        </is>
      </c>
      <c r="D11" s="2" t="inlineStr">
        <is>
          <t xml:space="preserve">Medium</t>
        </is>
      </c>
      <c r="E11" s="2" t="inlineStr">
        <is>
          <t xml:space="preserve">Not tested</t>
        </is>
      </c>
      <c r="F11" s="2" t="inlineStr">
        <is>
          <t xml:space="preserve">Check the ACL at start (icacls or the Win32 API) and warn like the POSIX check.</t>
        </is>
      </c>
      <c r="G11" s="2" t="inlineStr">
        <is>
          <t xml:space="preserve">Provisioning applies the ACL with icacls (manage-server-service.ps1). Windows ACLs are not evaluated by the Linux tests and not checked at runtime.</t>
        </is>
      </c>
      <c r="H11" s="2" t="inlineStr">
        <is>
          <t xml:space="preserve">SEC-03</t>
        </is>
      </c>
    </row>
    <row r="12">
      <c r="A12" s="2" t="inlineStr">
        <is>
          <t xml:space="preserve">R81-04</t>
        </is>
      </c>
      <c r="B12" s="2" t="inlineStr">
        <is>
          <t xml:space="preserve">SoD Reports</t>
        </is>
      </c>
      <c r="C12" s="2" t="inlineStr">
        <is>
          <t xml:space="preserve">SoD › Reports › PDF</t>
        </is>
      </c>
      <c r="D12" s="2" t="inlineStr">
        <is>
          <t xml:space="preserve">Medium</t>
        </is>
      </c>
      <c r="E12" s="2" t="inlineStr">
        <is>
          <t xml:space="preserve">Not tested</t>
        </is>
      </c>
      <c r="F12" s="2" t="inlineStr">
        <is>
          <t xml:space="preserve">Show transaction descriptions with their source in the same tables.</t>
        </is>
      </c>
      <c r="G12" s="2" t="inlineStr">
        <is>
          <t xml:space="preserve">Implemented in R8.1. Layout was checked through the model and file validity, not by looking at pages.</t>
        </is>
      </c>
      <c r="H12" s="2" t="inlineStr">
        <is>
          <t xml:space="preserve"/>
        </is>
      </c>
    </row>
  </sheetData>
  <autoFilter ref="A1:H12"/>
  <conditionalFormatting sqref="E2:E2000">
    <cfRule type="cellIs" dxfId="0" priority="1" operator="equal">
      <formula>"Passed"</formula>
    </cfRule>
    <cfRule type="cellIs" dxfId="1" priority="2" operator="equal">
      <formula>"Failed"</formula>
    </cfRule>
    <cfRule type="cellIs" dxfId="2" priority="3" operator="equal">
      <formula>"Needs improvement"</formula>
    </cfRule>
    <cfRule type="cellIs" dxfId="3" priority="4" operator="equal">
      <formula>"Blocked"</formula>
    </cfRule>
    <cfRule type="cellIs" dxfId="4" priority="5" operator="equal">
      <formula>"Not applicable"</formula>
    </cfRule>
  </conditionalFormatting>
  <conditionalFormatting sqref="D2:D2000">
    <cfRule type="cellIs" dxfId="1" priority="6" operator="equal">
      <formula>"Critical"</formula>
    </cfRule>
    <cfRule type="cellIs" dxfId="2" priority="7" operator="equal">
      <formula>"High"</formula>
    </cfRule>
    <cfRule type="cellIs" dxfId="3" priority="8" operator="equal">
      <formula>"Medium"</formula>
    </cfRule>
  </conditionalFormatting>
</worksheet>
</file>